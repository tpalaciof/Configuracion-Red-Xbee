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pala\Documents\Tomas\Universidad\Practicas\"/>
    </mc:Choice>
  </mc:AlternateContent>
  <xr:revisionPtr revIDLastSave="0" documentId="13_ncr:1_{6210CAA8-4669-40A1-942D-BCFFA034FE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uebas" sheetId="1" r:id="rId1"/>
    <sheet name="Objetivos y hitos" sheetId="2" r:id="rId2"/>
    <sheet name="Progreso de hito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E19" i="2"/>
  <c r="F19" i="2" s="1"/>
  <c r="E18" i="2"/>
  <c r="P13" i="3" s="1"/>
  <c r="E17" i="2"/>
  <c r="P12" i="3" s="1"/>
  <c r="E16" i="2"/>
  <c r="P11" i="3" s="1"/>
  <c r="E15" i="2"/>
  <c r="F15" i="2" s="1"/>
  <c r="L24" i="3" s="1"/>
  <c r="E14" i="2"/>
  <c r="F14" i="2" s="1"/>
  <c r="E13" i="2"/>
  <c r="E12" i="2"/>
  <c r="E11" i="2"/>
  <c r="F11" i="2" s="1"/>
  <c r="G47" i="3" s="1"/>
  <c r="E10" i="2"/>
  <c r="E9" i="2"/>
  <c r="P6" i="3" s="1"/>
  <c r="P9" i="3" l="1"/>
  <c r="P7" i="3"/>
  <c r="P8" i="3"/>
  <c r="E31" i="2"/>
  <c r="V40" i="3"/>
  <c r="K10" i="3"/>
  <c r="E35" i="2"/>
  <c r="AP40" i="3"/>
  <c r="K14" i="3"/>
  <c r="F12" i="2"/>
  <c r="F16" i="2"/>
  <c r="F9" i="2"/>
  <c r="F13" i="2"/>
  <c r="F17" i="2"/>
  <c r="P10" i="3"/>
  <c r="P14" i="3"/>
  <c r="F10" i="2"/>
  <c r="F18" i="2"/>
  <c r="K11" i="3" l="1"/>
  <c r="E32" i="2"/>
  <c r="AA40" i="3"/>
  <c r="G40" i="3"/>
  <c r="K7" i="3"/>
  <c r="E28" i="2"/>
  <c r="AP32" i="3"/>
  <c r="Q14" i="3"/>
  <c r="E34" i="2"/>
  <c r="AK40" i="3"/>
  <c r="K13" i="3"/>
  <c r="E33" i="2"/>
  <c r="AF40" i="3"/>
  <c r="K12" i="3"/>
  <c r="K8" i="3"/>
  <c r="E29" i="2"/>
  <c r="L40" i="3"/>
  <c r="K9" i="3"/>
  <c r="E30" i="2"/>
  <c r="Q40" i="3"/>
  <c r="E27" i="2"/>
  <c r="B40" i="3"/>
  <c r="K6" i="3"/>
  <c r="Q10" i="3"/>
  <c r="V32" i="3"/>
  <c r="L32" i="3" l="1"/>
  <c r="Q8" i="3"/>
  <c r="Q7" i="3"/>
  <c r="G32" i="3"/>
  <c r="B32" i="3"/>
  <c r="Q6" i="3"/>
  <c r="AF32" i="3"/>
  <c r="Q12" i="3"/>
  <c r="Q9" i="3"/>
  <c r="Q32" i="3"/>
  <c r="Q11" i="3"/>
  <c r="AA32" i="3"/>
  <c r="Q13" i="3"/>
  <c r="AK32" i="3"/>
</calcChain>
</file>

<file path=xl/sharedStrings.xml><?xml version="1.0" encoding="utf-8"?>
<sst xmlns="http://schemas.openxmlformats.org/spreadsheetml/2006/main" count="417" uniqueCount="271">
  <si>
    <t>Objetivo</t>
  </si>
  <si>
    <t>Hito</t>
  </si>
  <si>
    <t>Prueba a verificar</t>
  </si>
  <si>
    <t>Cómo realizar la prueba</t>
  </si>
  <si>
    <t>Resultado esperado</t>
  </si>
  <si>
    <t>¿Se cumplió?</t>
  </si>
  <si>
    <t>¿De qué manera? Resultado observado</t>
  </si>
  <si>
    <t>Evidencia (archivo o enlace)</t>
  </si>
  <si>
    <t>Fecha de prueba</t>
  </si>
  <si>
    <t>Responsable</t>
  </si>
  <si>
    <t>H0 · Preparación</t>
  </si>
  <si>
    <t>Identificar las Raspberry, los XBee, el adaptador serial y el nodo ESP32. Registrar conexiones, puertos, velocidad serial y los valores iniciales de cada módulo antes de cambiarlo.</t>
  </si>
  <si>
    <t>El montaje puede reproducirse con los equipos, conexiones y valores iniciales registrados.</t>
  </si>
  <si>
    <t>Definir qué módulos se usarán, su ubicación, alimentación, redes de prueba y condiciones de radio. Revisar que las pruebas de esta tabla cubran todos los objetivos.</t>
  </si>
  <si>
    <t>Las condiciones de los ensayos y las pruebas previstas están documentadas.</t>
  </si>
  <si>
    <t>H1 · Local</t>
  </si>
  <si>
    <t>Conectar el XBee a la Raspberry y ejecutar la lectura. Registrar la dirección MAC, el nombre NI y los valores ID, AP y CE. Comparar con los datos iniciales del módulo.</t>
  </si>
  <si>
    <t>El programa identifica el XBee correcto y presenta sus parámetros sin modificarlo.</t>
  </si>
  <si>
    <t>Leer varias veces el mismo módulo sin cambiarlo. Comparar MAC, NI, ID, AP, CE y los datos de diagnóstico disponibles. Anotar cuántas lecturas se hicieron.</t>
  </si>
  <si>
    <t>Las lecturas coinciden. Un dato que no se pudo consultar se indica como no disponible.</t>
  </si>
  <si>
    <t>Intentar la lectura con el XBee desconectado o con un puerto incorrecto. Registrar el mensaje mostrado.</t>
  </si>
  <si>
    <t>El programa informa el fallo y no muestra valores anteriores como si fueran una lectura nueva.</t>
  </si>
  <si>
    <t>O2 · Configuración local</t>
  </si>
  <si>
    <t>Anotar los valores iniciales. Solicitar nuevos valores válidos de ID, AP, CE y NI, guardar los cambios y leer de nuevo los cuatro parámetros.</t>
  </si>
  <si>
    <t>Los cuatro valores leídos coinciden con los solicitados.</t>
  </si>
  <si>
    <t>Después de guardar una configuración, apagar y encender el XBee. Volver a leer ID, AP, CE y NI. Comparar con los valores que se solicitaron.</t>
  </si>
  <si>
    <t>La configuración permanece guardada después del reinicio eléctrico.</t>
  </si>
  <si>
    <t>Introducir un valor que el programa considere inválido. Revisar el mensaje y leer de nuevo la configuración.</t>
  </si>
  <si>
    <t>El programa rechaza el valor y conserva la configuración anterior.</t>
  </si>
  <si>
    <t>Iniciar una configuración y cancelarla antes de autorizar los cambios. Leer de nuevo los parámetros.</t>
  </si>
  <si>
    <t>El programa cancela la solicitud y conserva los valores iniciales.</t>
  </si>
  <si>
    <t>O3 · Misma red</t>
  </si>
  <si>
    <t>H2 · Red actual</t>
  </si>
  <si>
    <t>Ejecutar dos búsquedas consecutivas con los mismos módulos encendidos. Revisar la lista de resultados de cada búsqueda.</t>
  </si>
  <si>
    <t>Cada MAC aparece una sola vez en la lista de módulos.</t>
  </si>
  <si>
    <t>Primero apagar los módulos remotos y buscar. Después provocar un fallo de conexión con el XBee local y buscar de nuevo. Comparar los mensajes.</t>
  </si>
  <si>
    <t>El programa distingue una búsqueda sin módulos de una búsqueda que falló.</t>
  </si>
  <si>
    <t>O4 · Recuperación local</t>
  </si>
  <si>
    <t>Anotar el ID y AP del XBee local. Ejecutar una operación que los cambie temporalmente y permita terminar con normalidad. Leer ambos valores al finalizar.</t>
  </si>
  <si>
    <t>El ID y AP vuelven a sus valores originales y la lectura confirma la recuperación.</t>
  </si>
  <si>
    <t>H3 · Otros ID</t>
  </si>
  <si>
    <t>Anotar el ID y AP originales. Cancelar una búsqueda mientras el programa está usando otro ID. Leer de nuevo los valores locales.</t>
  </si>
  <si>
    <t>Después de cancelar, el XBee local recupera el ID y AP originales.</t>
  </si>
  <si>
    <t>O5 · Otras redes</t>
  </si>
  <si>
    <t>Elegir un intervalo pequeño que incluya la red de un XBee conocido y una red sin módulos. Ejecutar la búsqueda y comparar los ID explorados con los elegidos.</t>
  </si>
  <si>
    <t>El programa explora los ID solicitados y registra en cuál encontró cada MAC.</t>
  </si>
  <si>
    <t>Ejecutar la búsqueda de un intervalo. Registrar el progreso mostrado, el tiempo empleado en cada red y el tiempo total.</t>
  </si>
  <si>
    <t>El operador puede saber qué red se está explorando y cuánto duró la búsqueda.</t>
  </si>
  <si>
    <t>Realizar una búsqueda y cancelarla. Repetir provocando un fallo. En ambos casos revisar los resultados guardados y leer el ID y AP locales al recuperar la conexión.</t>
  </si>
  <si>
    <t>La búsqueda informa por qué terminó, conserva los hallazgos y permite comprobar la configuración local inicial.</t>
  </si>
  <si>
    <t>H4 · Remoto</t>
  </si>
  <si>
    <t>La lectura corresponde al módulo seleccionado y permite conocer su configuración antes de modificarlo.</t>
  </si>
  <si>
    <t>Los valores se leen nuevamente y coinciden con los solicitados.</t>
  </si>
  <si>
    <t>Anotar el ID remoto inicial. Solicitar otro ID por radio. Buscar el módulo en la red final y leer su configuración usando la misma MAC.</t>
  </si>
  <si>
    <t>El módulo se encuentra en la red final y la lectura confirma el nuevo ID.</t>
  </si>
  <si>
    <t>Después de guardar los cambios, apagar y encender el módulo remoto. Buscarlo en su red final y volver a leer ID, AP, CE y NI.</t>
  </si>
  <si>
    <t>Los cuatro valores permanecen guardados tras el reinicio.</t>
  </si>
  <si>
    <t>Solicitar un cambio remoto e impedir su lectura posterior. Revisar el mensaje del programa y el registro de la operación.</t>
  </si>
  <si>
    <t>El programa informa que no pudo comprobar el cambio y no lo anuncia como terminado.</t>
  </si>
  <si>
    <t>O7 · Registro por MAC</t>
  </si>
  <si>
    <t>H5 · Registro</t>
  </si>
  <si>
    <t>Descubrir y leer dos veces el mismo XBee. Abrir el archivo JSON y contar las entradas de su MAC. Comparar los valores guardados con los leídos.</t>
  </si>
  <si>
    <t>Hay una sola entrada por MAC y sus valores confirmados coinciden con la lectura.</t>
  </si>
  <si>
    <t>Guardar una configuración confirmada. Solicitar un cambio remoto e interrumpir su comprobación. Revisar la entrada del módulo en el archivo JSON.</t>
  </si>
  <si>
    <t>El registro conserva los últimos valores comprobados y señala el cambio solicitado como pendiente de comprobar.</t>
  </si>
  <si>
    <t>H6 · Sensores</t>
  </si>
  <si>
    <t>Entrega</t>
  </si>
  <si>
    <t>H7 · Entrega</t>
  </si>
  <si>
    <t>Instalar el programa en otra Raspberry siguiendo las instrucciones. Conectar un XBee y realizar una lectura y una configuración local.</t>
  </si>
  <si>
    <t>La instalación puede reproducirse y el programa funciona en la otra Raspberry.</t>
  </si>
  <si>
    <t>Pedir a otra persona que siga el manual para leer, configurar, buscar módulos y recuperar una conexión interrumpida. Registrar los pasos que requirieron ayuda.</t>
  </si>
  <si>
    <t>La persona puede completar las operaciones y recuperar la comunicación con las instrucciones disponibles.</t>
  </si>
  <si>
    <t>Revisar que el informe incluya los resultados de esta tabla, las condiciones del montaje, las evidencias, los problemas encontrados y las funciones limitadas.</t>
  </si>
  <si>
    <t>El informe permite identificar qué se comprobó, qué falta y bajo qué condiciones se realizaron los ensayos.</t>
  </si>
  <si>
    <t>Cumplimiento de objetivos y cierre de hitos</t>
  </si>
  <si>
    <t>Descripción del objetivo</t>
  </si>
  <si>
    <t>Hitos relacionados</t>
  </si>
  <si>
    <t>Pruebas previstas</t>
  </si>
  <si>
    <t>Pruebas con «Sí»</t>
  </si>
  <si>
    <t>¿Objetivo cumplido?</t>
  </si>
  <si>
    <t>Identificar el módulo conectado y leer de manera fiable sus parámetros y datos de diagnóstico, incluida su MAC, antes de modificarlo.</t>
  </si>
  <si>
    <t>Configurar localmente ID, AP, CE y NI, guardar los cambios y confirmar su persistencia mediante una lectura posterior y un reinicio eléctrico.</t>
  </si>
  <si>
    <t>Buscar e identificar los XBee que ya pertenecen a la misma red del XBee conectado a la Raspberry, sin cambiar el ID de este último.</t>
  </si>
  <si>
    <t>Comprobar y, cuando sea necesario, restituir el ID y el AP del XBee de la Raspberry después de una operación, una cancelación o un error.</t>
  </si>
  <si>
    <t>H1 a H4 · Recuperación local</t>
  </si>
  <si>
    <t>Buscar XBee en otras redes mediante un intervalo de ID indicado por el operador y registrar en qué ID se encontró cada módulo.</t>
  </si>
  <si>
    <t>Leer y cambiar por radio la configuración de un XBee seleccionado por su MAC, sin conectarlo por cable, y comprobar sus valores finales de ID, AP, CE y NI.</t>
  </si>
  <si>
    <t>Mantener un registro JSON de cada XBee identificado por su MAC, con la última configuración comprobada y una marca de pendiente si un cambio todavía no puede verificarse.</t>
  </si>
  <si>
    <t>Comprobar que, después de usar el configurador, el ESP32 sigue enviando sus mediciones y la Raspberry sigue recibiéndolas.</t>
  </si>
  <si>
    <t>Cierre de hitos</t>
  </si>
  <si>
    <t>Logro esperado</t>
  </si>
  <si>
    <t>Objetivos relacionados</t>
  </si>
  <si>
    <t>Criterio de cierre</t>
  </si>
  <si>
    <t>¿Hito cumplido?</t>
  </si>
  <si>
    <t>Fecha de cierre</t>
  </si>
  <si>
    <t>H0  Preparación</t>
  </si>
  <si>
    <t>Montaje de prueba definido, inventario de equipos y parámetros iniciales, esquema de conexión y matriz de ensayos.</t>
  </si>
  <si>
    <t>Preparación de todos</t>
  </si>
  <si>
    <t>Están identificados los equipos, sus conexiones y sus valores iniciales. También está escrito qué pruebas se harán.</t>
  </si>
  <si>
    <t>H1  Local</t>
  </si>
  <si>
    <t>Primera versión capaz de leer y configurar localmente ID, AP, CE y NI.</t>
  </si>
  <si>
    <t>Se puede leer y cambiar la configuración de un XBee conectado a la Raspberry. Después de apagarlo y encenderlo, los valores siguen siendo los solicitados.</t>
  </si>
  <si>
    <t>H2  Red actual</t>
  </si>
  <si>
    <t>Búsqueda de los XBee que comparten la red actual e identificación de cada uno por MAC.</t>
  </si>
  <si>
    <t>El programa muestra los XBee de la misma red e identifica cada uno sin repetirlo. También distingue entre una red sin nodos y un problema de conexión.</t>
  </si>
  <si>
    <t>H3  Otros ID</t>
  </si>
  <si>
    <t>Exploración de intervalos acotados de ID, con progreso y duración registrados por red.</t>
  </si>
  <si>
    <t>El programa busca en los valores de red elegidos por el operador y muestra dónde encontró cada XBee. Si la búsqueda se cancela o falla, el XBee de la Raspberry conserva su configuración inicial.</t>
  </si>
  <si>
    <t>H4  Remoto</t>
  </si>
  <si>
    <t>Lectura y configuración por radio de un XBee seleccionado por MAC, incluida la verificación tras un cambio de ID.</t>
  </si>
  <si>
    <t>Después de modificar un XBee por radio, el programa lee de nuevo sus valores y comprueba el cambio. Si pierde contacto, informa «No se pudo comprobar» en lugar de darlo por terminado.</t>
  </si>
  <si>
    <t>H5  Registro</t>
  </si>
  <si>
    <t>Registro JSON por MAC con configuración comprobada, intentos y operaciones pendientes.</t>
  </si>
  <si>
    <t>O7</t>
  </si>
  <si>
    <t>Cada XBee tiene un solo registro. El archivo guarda como confirmados únicamente los valores que se pudieron leer; los cambios que no se han comprobado aparecen como pendientes.</t>
  </si>
  <si>
    <t>H6  Sensores</t>
  </si>
  <si>
    <t>Ensayo de la recepción de mediciones desde el ESP32 hacia la Raspberry después de usar el configurador.</t>
  </si>
  <si>
    <t>O8</t>
  </si>
  <si>
    <t>La Raspberry sigue recibiendo mediciones del sensor después de usar el configurador. Se comparan los envíos previstos con los datos recibidos para comprobarlo.</t>
  </si>
  <si>
    <t>Versión estable, manual de operación, procedimiento de recuperación e informe de pruebas.</t>
  </si>
  <si>
    <t>Otra persona puede usar el programa siguiendo el manual. El informe explica qué problemas surgieron, qué funciones quedaron limitadas y cómo recuperar la comunicación.</t>
  </si>
  <si>
    <t>Sin probar</t>
  </si>
  <si>
    <t xml:space="preserve">  </t>
  </si>
  <si>
    <t>Hito relacionado</t>
  </si>
  <si>
    <t xml:space="preserve">H1 a H4 </t>
  </si>
  <si>
    <t>O1 · Identificación y Lectura local</t>
  </si>
  <si>
    <t>O3 · Búsqueda en la misma red</t>
  </si>
  <si>
    <t>O7 · Registro por módulo</t>
  </si>
  <si>
    <t>O8 · Recepción de mediciones</t>
  </si>
  <si>
    <t>Sí</t>
  </si>
  <si>
    <t>30/09/2026</t>
  </si>
  <si>
    <t>Faltantes</t>
  </si>
  <si>
    <t>Pruebas de seguimiento del configurador Xbee</t>
  </si>
  <si>
    <t>Cumplimiento de objetivos</t>
  </si>
  <si>
    <t>Faltantes / Próxima acción</t>
  </si>
  <si>
    <t>TO1.1. Identificación del módulo</t>
  </si>
  <si>
    <t>TO1.2. Lecturas repetidas y diagnóstico</t>
  </si>
  <si>
    <t>TO2.1. Cambio y lectura posterior</t>
  </si>
  <si>
    <t>TO2.2. Persistencia tras reinicio</t>
  </si>
  <si>
    <t>TO2.3. Valor inválido</t>
  </si>
  <si>
    <t>TO2.4. Cancelación antes de aplicar</t>
  </si>
  <si>
    <t>TO3.1. Detección de módulos conocidos</t>
  </si>
  <si>
    <t xml:space="preserve">La búsqueda identifica los módulos presentes por su MAC correctamente. </t>
  </si>
  <si>
    <t xml:space="preserve">Encender uno o más XBee conocidos en la misma red. Verificar si es capaz de detectar los dispositivos dentro de la misma red. </t>
  </si>
  <si>
    <t>Reconocer parámetros de ID, CE, AP y NI de otros módulos dentro de la misma red</t>
  </si>
  <si>
    <t>TO3.2. Identificación sin duplicados</t>
  </si>
  <si>
    <t>Es capaz de reconocer correctamente los parámetros de ID, CE, AP y NI de otros módulos dentro de la misma red</t>
  </si>
  <si>
    <t>TO3.4.  Identificación de cambio de parámetros</t>
  </si>
  <si>
    <t xml:space="preserve">TO3.3. Identificación de parámetros de otros módulos dentro de la misma red. </t>
  </si>
  <si>
    <t xml:space="preserve">Si el parámetro de un módulo dentro de la misma red es cambiado, verificar si este cambio se registra correctamente y no se superpone con el anterior.   </t>
  </si>
  <si>
    <t xml:space="preserve">Identifica correctamente los cambios de parámetros y reemplaza los anteriores por los nuevos. </t>
  </si>
  <si>
    <t>TO3.5. Red vacía y error de búsqueda</t>
  </si>
  <si>
    <t>Buscar e identificar los XBee que ya pertenecen a la misma red del XBee conectado a la Raspberry. Adicionalmente, reconocer correctamente parámetros de estos mismo módulos tales como ID, NI, CE y AP.</t>
  </si>
  <si>
    <t>Tomás Palacio</t>
  </si>
  <si>
    <t>TO1.3. Lecutura tras cambio de configuración</t>
  </si>
  <si>
    <t>TO1.5.Fallo de conexión</t>
  </si>
  <si>
    <t>TO1.4. Lectura de parámetros con otro módulo distinto</t>
  </si>
  <si>
    <t xml:space="preserve">Mediante la herramienta XCTU se cambia la configuración del módulo. Registrar el nombre NI y los valores ID, AP y CE. Comparar con los datos anteriores del módulo y comprobar que efectivamente se haya producido un cambio en el registro de los parámetros. Comprobar que la dirección MAC se registre de igual manera. </t>
  </si>
  <si>
    <t xml:space="preserve">Se evidencia el cambio de parámetros en el módulo y la dirección MAC permance siendo la misma. </t>
  </si>
  <si>
    <t xml:space="preserve"> Se conecta un módulo distinto y se comprueba que el programa sea capaz de identificarlo y leer correctamente sus parámetros. Se comrprueba que la dirección MAC sea distinta y única. </t>
  </si>
  <si>
    <t>El programa es capaz de leer los parámetros de configuración de distintos módulos sin problema. Se evidencia que la dirección MAC registra es única para cada módulo</t>
  </si>
  <si>
    <t>El programa es capaz de cambiar los parámetros NI, CE, AP, ID satisfactoriamente con diferentes módulos Xbee diferentes</t>
  </si>
  <si>
    <t>TO2.5. Configuración local de otro módulo Xbee</t>
  </si>
  <si>
    <t>Comprobar que las pruebas anteriores sean satisfactorias con otro módulo diferente al utilizado anteriormente</t>
  </si>
  <si>
    <t>Descubrir un módulo remoto dentro de la red local, y luego un módulo remoto dentro de otra red, seleccionarlo por su MAC y leer ID, AP, CE y NI por radio. Comparar la MAC y los datos con los del módulo de prueba.</t>
  </si>
  <si>
    <t xml:space="preserve">Anotar los valores remotos iniciales. Cambiar AP, CE y NI por radio usando valores compatibles con el ensayo. Guardar y leer de nuevo los tres parámetros. Hacer esto tanto para un módulo de una red local, como para un módulo de una red externa. </t>
  </si>
  <si>
    <t>Anotar el ID y AP originales. Desconectar el USB durante una búsqueda y revisar el mensaje. Reconectar el módulo, leer ambos valores y restablecerlos si cambiaron.</t>
  </si>
  <si>
    <t>El programa informa de la desconexión. Si no pudo comprobar la recuperación, lo advierte e indica cómo revisar y restablecer los valores después de reconectar.</t>
  </si>
  <si>
    <t>O4 · Búsqueda en otras redes</t>
  </si>
  <si>
    <t>O5 · Configuración remota</t>
  </si>
  <si>
    <t>O6 · Recuperación del Xbee local</t>
  </si>
  <si>
    <t>TO4.1.Intervalo y red encontrada</t>
  </si>
  <si>
    <t>TO4.2. Progreso y duración</t>
  </si>
  <si>
    <t>TO4.3.Cancelación o fallo</t>
  </si>
  <si>
    <t>TO5.1.Selección y lectura por MAC</t>
  </si>
  <si>
    <t>TO5.2.Cambio de AP, CE y NI</t>
  </si>
  <si>
    <t>TO5.3.Cambio de ID</t>
  </si>
  <si>
    <t>TO5.4.Persistencia remota</t>
  </si>
  <si>
    <t>TO5.5.Pérdida de respuesta</t>
  </si>
  <si>
    <t>TO6.1.Finalización normal</t>
  </si>
  <si>
    <t>TO6.2.Cancelación durante la búsqueda</t>
  </si>
  <si>
    <t>TO6.3.Error durante una operación</t>
  </si>
  <si>
    <t>TO7.1.Una entrada por módulo</t>
  </si>
  <si>
    <t>Usar el módulo de la prueba anterior. Recuperar la comunicación, leer su configuración y comparar los valores leídos con los guardados en el archivo JSON.</t>
  </si>
  <si>
    <t>El JSON se actualiza con los valores leídos y retira la marca de pendiente después de comprobar el resultado. Si la lectura vuelve a fallar, conserva esa marca.</t>
  </si>
  <si>
    <t>O1, O2 y O6</t>
  </si>
  <si>
    <t>O3 y O6</t>
  </si>
  <si>
    <t>O5 y O6</t>
  </si>
  <si>
    <t>O4 y O6</t>
  </si>
  <si>
    <t>No</t>
  </si>
  <si>
    <t>TO7.2.Cambio sin comprobar</t>
  </si>
  <si>
    <t>TO7.3.Verificación de un cambio pendiente</t>
  </si>
  <si>
    <t>Comentarios</t>
  </si>
  <si>
    <t>Ejecutar el programa receptor y registrar las mediciones durante un tiempo definido. Detenerlo, usar el configurador y cerrarlo. Volver a ejecutar el receptor durante el mismo tiempo y comparar los mensajes recibidos y su interpretación.</t>
  </si>
  <si>
    <t>La Raspberry vuelve a recibir e interpretar correctamente las mediciones. La comparación permite comprobar si aparecen errores de lectura o cambios en la cantidad de mensajes recibidos.</t>
  </si>
  <si>
    <t>Preparar los equipos y la conexión serial, registrar la configuración inicial de los módulos XBee y definir las condiciones y los procedimientos de las pruebas.</t>
  </si>
  <si>
    <t>Entregar el configurador, el manual de uso y recuperación y el informe de pruebas, comprobando que otra persona puede instalarlo y utilizarlo en otra Raspberry.</t>
  </si>
  <si>
    <t>O0 · Preparación</t>
  </si>
  <si>
    <t>O0 ·Preparación</t>
  </si>
  <si>
    <t>TO0.1.Inventario y conexión</t>
  </si>
  <si>
    <t>H8 · Entrega</t>
  </si>
  <si>
    <t>H8  Entrega</t>
  </si>
  <si>
    <t>O9 · Interfaz de usuario</t>
  </si>
  <si>
    <t>Desarrollar una interfaz clara y organizada que facilite la selección de módulos, la ejecución de las operaciones y la comprensión de los resultados y mensajes de error.</t>
  </si>
  <si>
    <t>H7 · Interfaz de usuario</t>
  </si>
  <si>
    <t>TO9.1.Identificación en pantalla</t>
  </si>
  <si>
    <t>TO9.2.Navegación por los menús</t>
  </si>
  <si>
    <t>TO9.3. Claridad de los mensajes</t>
  </si>
  <si>
    <t>Revisar el menú principal. Cambiar de puerto y seleccionar un módulo remoto. Comprobar que la información mostrada permite identificar el puerto y el XBee sobre el que se va a trabajar.</t>
  </si>
  <si>
    <t>Pedir a otro operador que seleccione un módulo, consulte su configuración y vuelva al menú principal siguiendo únicamente las instrucciones en pantalla.</t>
  </si>
  <si>
    <t>Ejecutar una operación correcta, introducir un valor inválido y provocar una pérdida de respuesta. Revisar los mensajes mostrados en cada caso.</t>
  </si>
  <si>
    <t>La pantalla identifica claramente el puerto seleccionado, el XBee local y el módulo remoto elegido, según la operación.</t>
  </si>
  <si>
    <t>El operador completa el recorrido sin instrucciones adicionales y reconoce cómo seleccionar, continuar y regresar.</t>
  </si>
  <si>
    <t>Los mensajes explican qué ocurrió y qué hacer después. Distinguen una operación completada, fallida o pendiente de comprobación.</t>
  </si>
  <si>
    <t>H7 Interfaz de usuario</t>
  </si>
  <si>
    <t>O10 · Entrega</t>
  </si>
  <si>
    <t>TO10.1.Instalación en otra Raspberry</t>
  </si>
  <si>
    <t>TO10.2.Uso y recuperación con el manual</t>
  </si>
  <si>
    <t>TO10.3.Informe final de pruebas</t>
  </si>
  <si>
    <t>O10 ·Entrega</t>
  </si>
  <si>
    <t>Se cumplen las tres pruebas de O9: el puerto y el módulo se identifican claramente, otro operador recorre los menús sin ayuda adicional y los mensajes distinguen operaciones completadas, fallidas o pendientes e indican cómo continuar.</t>
  </si>
  <si>
    <t>Menús organizados, identificación visible del puerto y del módulo seleccionado, e instrucciones y mensajes claros para el operador.</t>
  </si>
  <si>
    <t>O9</t>
  </si>
  <si>
    <t>Parcialmente</t>
  </si>
  <si>
    <t>O10</t>
  </si>
  <si>
    <t>Progreso de los hitos del configurador XBee</t>
  </si>
  <si>
    <t>Avance del hito = promedio del porcentaje de pruebas cumplidas de sus objetivos. Cada objetivo tiene el mismo peso.</t>
  </si>
  <si>
    <t>Objetivos asociados</t>
  </si>
  <si>
    <t>Objetivos completos</t>
  </si>
  <si>
    <t>Avance</t>
  </si>
  <si>
    <t>Estado del hito</t>
  </si>
  <si>
    <t>O0</t>
  </si>
  <si>
    <t>O1, O2, O6</t>
  </si>
  <si>
    <t>O3, O6</t>
  </si>
  <si>
    <t>O4, O6</t>
  </si>
  <si>
    <t>O5, O6</t>
  </si>
  <si>
    <t>Diagrama horizontal de dependencias de los hitos</t>
  </si>
  <si>
    <t xml:space="preserve"> </t>
  </si>
  <si>
    <t xml:space="preserve">El programa logra efecticamente identificar de manera local diferentes parámetros preestablecidos del Xbee. Estos parámetros son: MAC (SH y SL), NI, ID, AP, CE, BD, VR, HP, CM, DH y DL. </t>
  </si>
  <si>
    <t xml:space="preserve">Para un mismo módulo Xbee, el programa es capaz de leer repetidamente las diferentes variables, reconociendo invariablemente su MAC única. </t>
  </si>
  <si>
    <t xml:space="preserve">Se evidencia efectivamente los distintos valores de parámetros tras procederse un cambio en la configuración del módulo Xbee. Mientras tanto, la dirección MAC continua invariable, como es el resultado esperado. </t>
  </si>
  <si>
    <t xml:space="preserve">El programa logra efecticamente identificar de manera local diferentes parámetros preestablecidos de diferentes módulos Xbee. Estos parámetros son: MAC (SH y SL), NI, ID, AP, CE, BD, VR, HP, CM, DH y DL. Se evidencia la distinción de las diferentes MACs correspondientes de cáda módulo.  </t>
  </si>
  <si>
    <t xml:space="preserve">Se logra un correcto cambio en la confguración de un módulo Xbee de manera local. Los parámetros con posibilidad de cambio son: ID, AP, CE y NI. Los valores leídos posteriormente dentro de la configuración del módulo, corresponden a los valores exigidos por el usuario </t>
  </si>
  <si>
    <t xml:space="preserve">Tras un reinicio los valores de configuración permanecen en el Xbee. Esto evidencia que el guardado de los parámetros se encuentra dentro de la memoria no volátil. </t>
  </si>
  <si>
    <t>El proceso de configuración local del programa  funciona indistintamente del módulo Xbee utilizado.</t>
  </si>
  <si>
    <t>Se definen los módulos utilizados, su ubicación, alimentación, redes de prueba y condiciones de radio. Las condiciones de los ensayos y los procedimientos para verificar los objetivos quedan documentados.</t>
  </si>
  <si>
    <t>TO0.2.Plan de ensayos</t>
  </si>
  <si>
    <t>El programa logra identificar los módulos XBee encendidos dentro de la misma red del módulo conectado a la Raspberry. Se evidencia que las direcciones MAC encontradas corresponden a los módulos utilizados en la prueba.</t>
  </si>
  <si>
    <t xml:space="preserve">Al realizar búsquedas consecutivas con los mismos módulos encendidos, cada dirección MAC aparece una sola vez en la lista de resultados. </t>
  </si>
  <si>
    <t>El programa logra leer correctamente los parámetros ID, CE, AP y NI de otros módulos XBee dentro de la misma red. Los valores obtenidos corresponden a la configuración de cada módulo identificado.</t>
  </si>
  <si>
    <t>El programa explora los ID comprendidos en el intervalo seleccionado e identifica los módulos XBee presentes en las redes consultadas. Cada módulo encontrado queda registrado con su dirección MAC y el ID de la red en la que fue identificado.</t>
  </si>
  <si>
    <t>El programa logra cambiar por radio el ID del módulo remoto. Posteriormente, el módulo se encuentra en la nueva red con la misma dirección MAC, y la lectura de su configuración confirma el nuevo ID.</t>
  </si>
  <si>
    <t>Después de guardar los cambios y apagar y encender el módulo remoto, se evidencia que los parámetros ID, AP, CE y NI conservan los valores configurados. El programa vuelve a identificar el módulo en su red final y confirma estos valores mediante una nueva lectura.</t>
  </si>
  <si>
    <t>Al finalizar normalmente una operación que modifica temporalmente la configuración del XBee local, sus parámetros ID y AP recuperan los valores originales. La lectura posterior confirma que ambos valores coinciden con los registrados antes de iniciar la operación.</t>
  </si>
  <si>
    <t>Se evidencia que el programa logra modificar por radio los parámetros AP, CE y NI de módulos XBee de la red local y de una red externa. Después de guardar los cambios, una nueva lectura confirma que los valores corresponden a los solicitados.</t>
  </si>
  <si>
    <t>El programa permite seleccionar por su dirección MAC un módulo XBee de la red local y otro de una red diferente. En ambos casos, la lectura remota corresponde al módulo elegido y permite reconocer sus valores de ID, AP, CE y NI antes de modificarlos.</t>
  </si>
  <si>
    <t>Se evidencia que el programa reconoce los cambios realizados en los parámetros de un módulo XBee de la misma red. El registro se actualiza con los nuevos valores y mantiene la identificación del módulo mediante su dirección MAC.</t>
  </si>
  <si>
    <t>Se identifican los equipos utilizados y se registran las conexiones, el puerto y la velocidad serial, junto con los valores iniciales de los módulos XBee. Esta información permite reproducir el montaje y reconocer la configuración de cada módulo antes de modificarla.</t>
  </si>
  <si>
    <t>Al descubrir y leer repetidamente el mismo módulo XBee, el archivo JSON mantiene una única entrada asociada a su dirección MAC. Se evidencia que los valores guardados en el registro coinciden con los obtenidos mediante la lectura del módulo.</t>
  </si>
  <si>
    <t>Se evidencia que la comunicación entre el ESP32 y la Raspberry funciona antes y después de utilizar el configurador. Al cerrar el configurador y volver a ejecutar el programa receptor, la Raspberry recibe e interpreta correctamente las mediciones enviadas por el ESP32.</t>
  </si>
  <si>
    <t>La pantalla muestra claramente el puerto seleccionado y la identificación del XBee local o del módulo remoto, según la operación. Al cambiar de puerto o seleccionar otro módulo, la información mostrada se actualiza y permite reconocer sobre cuál XBee se va a trabajar.</t>
  </si>
  <si>
    <t xml:space="preserve">Se completó la preparación </t>
  </si>
  <si>
    <t>Se completó la preparación</t>
  </si>
  <si>
    <t>Se siguen recibiendo mediciones correctamente</t>
  </si>
  <si>
    <t>13/10/2026</t>
  </si>
  <si>
    <t>La etapa de configuración local pasó todas las pruebas satisfactoriamente</t>
  </si>
  <si>
    <t>TO8.1.Recepción antes y después de usar el configurador</t>
  </si>
  <si>
    <t>Se encuentra en las evidencias de las otras pruebas</t>
  </si>
  <si>
    <t>La etapa de búsqueda de otras redes pasó todas las pruebas satisfactoriamente</t>
  </si>
  <si>
    <t>14/10/2026</t>
  </si>
  <si>
    <t xml:space="preserve">Se completó la etapa de identificación y lectura de parámetros local de un módulo Xbee pasando todas las prubas satisfactoriamente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</si>
</sst>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&quot; de 1&quot;"/>
    <numFmt numFmtId="166" formatCode="0&quot; de 3&quot;"/>
    <numFmt numFmtId="167" formatCode="0&quot; de 2&quot;"/>
  </numFmts>
  <fonts count="19">
    <font>
      <sz val="11"/>
      <name val="Carlito"/>
    </font>
    <font>
      <sz val="11"/>
      <color rgb="FF243746"/>
      <name val="Arial"/>
      <family val="2"/>
    </font>
    <font>
      <b/>
      <sz val="16"/>
      <color rgb="FF243746"/>
      <name val="Arial"/>
      <family val="2"/>
    </font>
    <font>
      <b/>
      <sz val="11"/>
      <color rgb="FFFFFFFF"/>
      <name val="Arial"/>
      <family val="2"/>
    </font>
    <font>
      <b/>
      <sz val="14"/>
      <color rgb="FF243746"/>
      <name val="Arial"/>
      <family val="2"/>
    </font>
    <font>
      <b/>
      <sz val="72"/>
      <color rgb="FF243746"/>
      <name val="Arial"/>
      <family val="2"/>
    </font>
    <font>
      <sz val="11"/>
      <color rgb="FF243746"/>
      <name val="Arial"/>
    </font>
    <font>
      <b/>
      <sz val="11"/>
      <color rgb="FFFFFFFF"/>
      <name val="Arial"/>
    </font>
    <font>
      <b/>
      <sz val="17"/>
      <color rgb="FF24465A"/>
      <name val="Arial"/>
    </font>
    <font>
      <i/>
      <sz val="10"/>
      <color rgb="FF52616E"/>
      <name val="Arial"/>
    </font>
    <font>
      <b/>
      <sz val="11"/>
      <color rgb="FF17613B"/>
      <name val="Arial"/>
    </font>
    <font>
      <b/>
      <sz val="11"/>
      <color rgb="FF825300"/>
      <name val="Arial"/>
    </font>
    <font>
      <b/>
      <sz val="11"/>
      <color rgb="FF9C2723"/>
      <name val="Arial"/>
    </font>
    <font>
      <b/>
      <sz val="11"/>
      <color rgb="FF52616E"/>
      <name val="Arial"/>
    </font>
    <font>
      <b/>
      <sz val="11"/>
      <color rgb="FF24465A"/>
      <name val="Arial"/>
    </font>
    <font>
      <sz val="11"/>
      <color rgb="FF24465A"/>
      <name val="Arial"/>
    </font>
    <font>
      <b/>
      <sz val="15"/>
      <color rgb="FF24465A"/>
      <name val="Arial"/>
    </font>
    <font>
      <sz val="11"/>
      <color rgb="FF536575"/>
      <name val="Arial"/>
    </font>
    <font>
      <b/>
      <sz val="11"/>
      <color rgb="FF536575"/>
      <name val="Arial"/>
    </font>
  </fonts>
  <fills count="13">
    <fill>
      <patternFill patternType="none"/>
    </fill>
    <fill>
      <patternFill patternType="gray125"/>
    </fill>
    <fill>
      <patternFill patternType="solid">
        <fgColor rgb="FF26475C"/>
      </patternFill>
    </fill>
    <fill>
      <patternFill patternType="solid">
        <fgColor rgb="FFF4F7FA"/>
      </patternFill>
    </fill>
    <fill>
      <patternFill patternType="solid">
        <fgColor rgb="FFFFF4D4"/>
      </patternFill>
    </fill>
    <fill>
      <patternFill patternType="solid">
        <fgColor rgb="FFFFF4D4"/>
        <bgColor indexed="64"/>
      </patternFill>
    </fill>
    <fill>
      <patternFill patternType="solid">
        <fgColor rgb="FFFFFFFF"/>
      </patternFill>
    </fill>
    <fill>
      <patternFill patternType="solid">
        <fgColor rgb="FF24465A"/>
      </patternFill>
    </fill>
    <fill>
      <patternFill patternType="solid">
        <fgColor rgb="FFF2F6F8"/>
      </patternFill>
    </fill>
    <fill>
      <patternFill patternType="solid">
        <fgColor rgb="FFDFF2E6"/>
      </patternFill>
    </fill>
    <fill>
      <patternFill patternType="solid">
        <fgColor rgb="FFFFF0CC"/>
      </patternFill>
    </fill>
    <fill>
      <patternFill patternType="solid">
        <fgColor rgb="FFFBE0DF"/>
      </patternFill>
    </fill>
    <fill>
      <patternFill patternType="solid">
        <fgColor rgb="FFEBEFF3"/>
      </patternFill>
    </fill>
  </fills>
  <borders count="39">
    <border>
      <left/>
      <right/>
      <top/>
      <bottom/>
      <diagonal/>
    </border>
    <border>
      <left/>
      <right/>
      <top style="medium">
        <color rgb="FF93AAB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medium">
        <color rgb="FF93AABC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4" tint="0.39997558519241921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4" tint="0.3999755851924192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/>
      <bottom/>
      <diagonal/>
    </border>
    <border>
      <left/>
      <right/>
      <top/>
      <bottom style="thin">
        <color rgb="FFA9BCC7"/>
      </bottom>
      <diagonal/>
    </border>
    <border>
      <left style="thin">
        <color rgb="FFB6C8D5"/>
      </left>
      <right/>
      <top style="thin">
        <color rgb="FFB6C8D5"/>
      </top>
      <bottom/>
      <diagonal/>
    </border>
    <border>
      <left/>
      <right/>
      <top style="thin">
        <color rgb="FFB6C8D5"/>
      </top>
      <bottom/>
      <diagonal/>
    </border>
    <border>
      <left/>
      <right style="thin">
        <color rgb="FFB6C8D5"/>
      </right>
      <top style="thin">
        <color rgb="FFB6C8D5"/>
      </top>
      <bottom/>
      <diagonal/>
    </border>
    <border>
      <left style="thin">
        <color rgb="FFB6C8D5"/>
      </left>
      <right/>
      <top/>
      <bottom/>
      <diagonal/>
    </border>
    <border>
      <left/>
      <right style="thin">
        <color rgb="FFB6C8D5"/>
      </right>
      <top/>
      <bottom/>
      <diagonal/>
    </border>
    <border>
      <left style="thin">
        <color rgb="FFB6C8D5"/>
      </left>
      <right/>
      <top/>
      <bottom style="thin">
        <color rgb="FFB6C8D5"/>
      </bottom>
      <diagonal/>
    </border>
    <border>
      <left/>
      <right/>
      <top/>
      <bottom style="thin">
        <color rgb="FFB6C8D5"/>
      </bottom>
      <diagonal/>
    </border>
    <border>
      <left/>
      <right style="thin">
        <color rgb="FFB6C8D5"/>
      </right>
      <top/>
      <bottom style="thin">
        <color rgb="FFB6C8D5"/>
      </bottom>
      <diagonal/>
    </border>
    <border>
      <left/>
      <right style="thin">
        <color theme="3" tint="0.499984740745262"/>
      </right>
      <top/>
      <bottom/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/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/>
      <right/>
      <top/>
      <bottom style="thin">
        <color theme="3" tint="0.499984740745262"/>
      </bottom>
      <diagonal/>
    </border>
  </borders>
  <cellStyleXfs count="2">
    <xf numFmtId="0" fontId="0" fillId="0" borderId="0"/>
    <xf numFmtId="0" fontId="1" fillId="0" borderId="0" xfId="0" applyFont="1" applyAlignment="1">
      <alignment vertical="top" wrapText="1"/>
    </xf>
  </cellStyleXfs>
  <cellXfs count="114">
    <xf numFmtId="0" fontId="0" fillId="0" borderId="0" xfId="0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164" fontId="1" fillId="4" borderId="0" xfId="0" applyNumberFormat="1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164" fontId="1" fillId="5" borderId="0" xfId="0" applyNumberFormat="1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vertical="top" wrapText="1"/>
    </xf>
    <xf numFmtId="0" fontId="1" fillId="3" borderId="16" xfId="0" applyFont="1" applyFill="1" applyBorder="1" applyAlignment="1">
      <alignment vertical="top" wrapText="1"/>
    </xf>
    <xf numFmtId="0" fontId="1" fillId="4" borderId="15" xfId="0" applyFont="1" applyFill="1" applyBorder="1" applyAlignment="1">
      <alignment vertical="top" wrapText="1"/>
    </xf>
    <xf numFmtId="0" fontId="1" fillId="4" borderId="14" xfId="0" applyFont="1" applyFill="1" applyBorder="1" applyAlignment="1">
      <alignment horizontal="center" vertical="center" wrapText="1"/>
    </xf>
    <xf numFmtId="14" fontId="1" fillId="4" borderId="15" xfId="0" applyNumberFormat="1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vertical="top" wrapText="1"/>
    </xf>
    <xf numFmtId="164" fontId="1" fillId="4" borderId="17" xfId="0" applyNumberFormat="1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vertical="top" wrapText="1"/>
    </xf>
    <xf numFmtId="0" fontId="1" fillId="3" borderId="21" xfId="0" applyFont="1" applyFill="1" applyBorder="1" applyAlignment="1">
      <alignment vertical="top" wrapText="1"/>
    </xf>
    <xf numFmtId="0" fontId="1" fillId="3" borderId="14" xfId="0" applyFont="1" applyFill="1" applyBorder="1" applyAlignment="1">
      <alignment vertical="top" wrapText="1"/>
    </xf>
    <xf numFmtId="164" fontId="1" fillId="4" borderId="14" xfId="0" applyNumberFormat="1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vertical="top" wrapText="1"/>
    </xf>
    <xf numFmtId="0" fontId="1" fillId="4" borderId="17" xfId="0" applyFont="1" applyFill="1" applyBorder="1" applyAlignment="1">
      <alignment horizontal="center" vertical="top" wrapText="1"/>
    </xf>
    <xf numFmtId="0" fontId="1" fillId="4" borderId="22" xfId="0" applyFont="1" applyFill="1" applyBorder="1" applyAlignment="1">
      <alignment vertical="top" wrapText="1"/>
    </xf>
    <xf numFmtId="0" fontId="6" fillId="6" borderId="23" xfId="1" applyFont="1" applyFill="1" applyBorder="1" applyAlignment="1">
      <alignment vertical="center"/>
    </xf>
    <xf numFmtId="0" fontId="7" fillId="7" borderId="23" xfId="1" applyFont="1" applyFill="1" applyBorder="1" applyAlignment="1">
      <alignment horizontal="center" vertical="center" wrapText="1"/>
    </xf>
    <xf numFmtId="9" fontId="6" fillId="8" borderId="23" xfId="1" applyNumberFormat="1" applyFont="1" applyFill="1" applyBorder="1" applyAlignment="1">
      <alignment horizontal="center" vertical="center"/>
    </xf>
    <xf numFmtId="0" fontId="15" fillId="6" borderId="0" xfId="0" applyFont="1" applyFill="1"/>
    <xf numFmtId="0" fontId="1" fillId="3" borderId="8" xfId="0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0" fillId="0" borderId="19" xfId="0" applyBorder="1"/>
    <xf numFmtId="0" fontId="1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8" fillId="6" borderId="24" xfId="1" applyFont="1" applyFill="1" applyBorder="1" applyAlignment="1">
      <alignment vertical="center"/>
    </xf>
    <xf numFmtId="0" fontId="9" fillId="6" borderId="23" xfId="1" applyFont="1" applyFill="1" applyBorder="1" applyAlignment="1">
      <alignment vertical="center"/>
    </xf>
    <xf numFmtId="0" fontId="7" fillId="7" borderId="23" xfId="1" applyFont="1" applyFill="1" applyBorder="1" applyAlignment="1">
      <alignment horizontal="center" vertical="center" wrapText="1"/>
    </xf>
    <xf numFmtId="0" fontId="6" fillId="8" borderId="23" xfId="1" applyFont="1" applyFill="1" applyBorder="1" applyAlignment="1">
      <alignment vertical="center"/>
    </xf>
    <xf numFmtId="0" fontId="6" fillId="8" borderId="23" xfId="1" applyFont="1" applyFill="1" applyBorder="1" applyAlignment="1">
      <alignment horizontal="center" vertical="center"/>
    </xf>
    <xf numFmtId="165" fontId="6" fillId="8" borderId="23" xfId="1" applyNumberFormat="1" applyFont="1" applyFill="1" applyBorder="1" applyAlignment="1">
      <alignment horizontal="center" vertical="center"/>
    </xf>
    <xf numFmtId="0" fontId="6" fillId="6" borderId="23" xfId="1" applyFont="1" applyFill="1" applyBorder="1" applyAlignment="1">
      <alignment horizontal="center" vertical="center"/>
    </xf>
    <xf numFmtId="0" fontId="6" fillId="6" borderId="23" xfId="1" applyFont="1" applyFill="1" applyBorder="1" applyAlignment="1">
      <alignment vertical="center"/>
    </xf>
    <xf numFmtId="166" fontId="6" fillId="6" borderId="23" xfId="1" applyNumberFormat="1" applyFont="1" applyFill="1" applyBorder="1" applyAlignment="1">
      <alignment horizontal="center" vertical="center"/>
    </xf>
    <xf numFmtId="167" fontId="6" fillId="8" borderId="23" xfId="1" applyNumberFormat="1" applyFont="1" applyFill="1" applyBorder="1" applyAlignment="1">
      <alignment horizontal="center" vertical="center"/>
    </xf>
    <xf numFmtId="167" fontId="6" fillId="6" borderId="23" xfId="1" applyNumberFormat="1" applyFont="1" applyFill="1" applyBorder="1" applyAlignment="1">
      <alignment horizontal="center" vertical="center"/>
    </xf>
    <xf numFmtId="165" fontId="6" fillId="6" borderId="23" xfId="1" applyNumberFormat="1" applyFont="1" applyFill="1" applyBorder="1" applyAlignment="1">
      <alignment horizontal="center" vertical="center"/>
    </xf>
    <xf numFmtId="0" fontId="10" fillId="9" borderId="23" xfId="1" applyFont="1" applyFill="1" applyBorder="1" applyAlignment="1">
      <alignment horizontal="center" vertical="center"/>
    </xf>
    <xf numFmtId="0" fontId="11" fillId="10" borderId="23" xfId="1" applyFont="1" applyFill="1" applyBorder="1" applyAlignment="1">
      <alignment horizontal="center" vertical="center"/>
    </xf>
    <xf numFmtId="0" fontId="12" fillId="11" borderId="23" xfId="1" applyFont="1" applyFill="1" applyBorder="1" applyAlignment="1">
      <alignment horizontal="center" vertical="center"/>
    </xf>
    <xf numFmtId="0" fontId="13" fillId="12" borderId="23" xfId="1" applyFont="1" applyFill="1" applyBorder="1" applyAlignment="1">
      <alignment horizontal="center" vertical="center"/>
    </xf>
    <xf numFmtId="0" fontId="16" fillId="6" borderId="0" xfId="0" applyFont="1" applyFill="1"/>
    <xf numFmtId="0" fontId="15" fillId="6" borderId="0" xfId="0" applyFont="1" applyFill="1"/>
    <xf numFmtId="0" fontId="17" fillId="6" borderId="0" xfId="0" applyFont="1" applyFill="1"/>
    <xf numFmtId="0" fontId="18" fillId="12" borderId="25" xfId="0" applyFont="1" applyFill="1" applyBorder="1" applyAlignment="1">
      <alignment horizontal="center" vertical="center" wrapText="1"/>
    </xf>
    <xf numFmtId="0" fontId="18" fillId="12" borderId="26" xfId="0" applyFont="1" applyFill="1" applyBorder="1" applyAlignment="1">
      <alignment horizontal="center" vertical="center" wrapText="1"/>
    </xf>
    <xf numFmtId="0" fontId="18" fillId="12" borderId="27" xfId="0" applyFont="1" applyFill="1" applyBorder="1" applyAlignment="1">
      <alignment horizontal="center" vertical="center" wrapText="1"/>
    </xf>
    <xf numFmtId="0" fontId="18" fillId="12" borderId="28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18" fillId="12" borderId="30" xfId="0" applyFont="1" applyFill="1" applyBorder="1" applyAlignment="1">
      <alignment horizontal="center" vertical="center" wrapText="1"/>
    </xf>
    <xf numFmtId="0" fontId="18" fillId="12" borderId="31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/>
    </xf>
    <xf numFmtId="0" fontId="14" fillId="6" borderId="0" xfId="0" applyFont="1" applyFill="1"/>
  </cellXfs>
  <cellStyles count="1">
    <cellStyle name="Normal" xfId="0" builtinId="0"/>
  </cellStyles>
  <dxfs count="95"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7613B"/>
      </font>
      <fill>
        <patternFill patternType="solid">
          <bgColor rgb="FFDFF2E6"/>
        </patternFill>
      </fill>
    </dxf>
    <dxf>
      <font>
        <b/>
        <color rgb="FF52616E"/>
      </font>
      <fill>
        <patternFill patternType="solid">
          <bgColor rgb="FFEBEFF3"/>
        </patternFill>
      </fill>
    </dxf>
    <dxf>
      <font>
        <b/>
        <color rgb="FF9C2723"/>
      </font>
      <fill>
        <patternFill patternType="solid">
          <bgColor rgb="FFFBE0DF"/>
        </patternFill>
      </fill>
    </dxf>
    <dxf>
      <font>
        <b/>
        <color rgb="FF825300"/>
      </font>
      <fill>
        <patternFill patternType="solid">
          <bgColor rgb="FFFFF0CC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536575"/>
      </font>
      <fill>
        <patternFill patternType="solid">
          <bgColor rgb="FFEBEFF3"/>
        </patternFill>
      </fill>
    </dxf>
    <dxf>
      <font>
        <b/>
        <color rgb="FFB03938"/>
      </font>
      <fill>
        <patternFill patternType="solid">
          <bgColor rgb="FFFBE3E4"/>
        </patternFill>
      </fill>
    </dxf>
    <dxf>
      <font>
        <b/>
        <color rgb="FF8C5800"/>
      </font>
      <fill>
        <patternFill patternType="solid">
          <bgColor rgb="FFFFF0CB"/>
        </patternFill>
      </fill>
    </dxf>
    <dxf>
      <font>
        <b/>
        <color rgb="FF156B3D"/>
      </font>
      <fill>
        <patternFill patternType="solid">
          <bgColor rgb="FFDFF2E7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/>
        <color rgb="FF536270"/>
      </font>
      <fill>
        <patternFill>
          <bgColor rgb="FFE9EDF1"/>
        </patternFill>
      </fill>
    </dxf>
    <dxf>
      <font>
        <b/>
        <color rgb="FF8C2835"/>
      </font>
      <fill>
        <patternFill>
          <bgColor rgb="FFF8DCDD"/>
        </patternFill>
      </fill>
    </dxf>
    <dxf>
      <font>
        <b/>
        <color rgb="FF805B00"/>
      </font>
      <fill>
        <patternFill>
          <bgColor rgb="FFFFE4AB"/>
        </patternFill>
      </fill>
    </dxf>
    <dxf>
      <font>
        <b/>
        <color rgb="FF235734"/>
      </font>
      <fill>
        <patternFill>
          <bgColor rgb="FFDCEED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3746"/>
        <name val="Arial"/>
        <family val="2"/>
        <scheme val="none"/>
      </font>
      <numFmt numFmtId="164" formatCode="dd/mm/yyyy"/>
      <fill>
        <patternFill patternType="solid">
          <fgColor indexed="64"/>
          <bgColor rgb="FFFFF4D4"/>
        </patternFill>
      </fill>
      <alignment horizontal="general" vertical="top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13428</xdr:colOff>
      <xdr:row>33</xdr:row>
      <xdr:rowOff>53708</xdr:rowOff>
    </xdr:from>
    <xdr:ext cx="359179" cy="3358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 flipV="1">
          <a:off x="1923463" y="10741849"/>
          <a:ext cx="359179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5</xdr:col>
      <xdr:colOff>304513</xdr:colOff>
      <xdr:row>32</xdr:row>
      <xdr:rowOff>264211</xdr:rowOff>
    </xdr:from>
    <xdr:ext cx="114300" cy="11430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2211428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  <xdr:txBody>
        <a:bodyPr/>
        <a:lstStyle/>
        <a:p>
          <a:endParaRPr lang="es-MX"/>
        </a:p>
      </xdr:txBody>
    </xdr:sp>
    <xdr:clientData/>
  </xdr:oneCellAnchor>
  <xdr:oneCellAnchor>
    <xdr:from>
      <xdr:col>10</xdr:col>
      <xdr:colOff>3357</xdr:colOff>
      <xdr:row>33</xdr:row>
      <xdr:rowOff>53709</xdr:rowOff>
    </xdr:from>
    <xdr:ext cx="362536" cy="6712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4044978" y="10741850"/>
          <a:ext cx="362536" cy="6712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10</xdr:col>
      <xdr:colOff>304512</xdr:colOff>
      <xdr:row>33</xdr:row>
      <xdr:rowOff>0</xdr:rowOff>
    </xdr:from>
    <xdr:ext cx="114300" cy="1143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4336602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15</xdr:col>
      <xdr:colOff>10072</xdr:colOff>
      <xdr:row>33</xdr:row>
      <xdr:rowOff>50352</xdr:rowOff>
    </xdr:from>
    <xdr:ext cx="1688484" cy="3356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Grp="1"/>
        </xdr:cNvSpPr>
      </xdr:nvSpPr>
      <xdr:spPr>
        <a:xfrm>
          <a:off x="6183279" y="10738493"/>
          <a:ext cx="1688484" cy="3356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15</xdr:col>
      <xdr:colOff>1588253</xdr:colOff>
      <xdr:row>32</xdr:row>
      <xdr:rowOff>260381</xdr:rowOff>
    </xdr:from>
    <xdr:ext cx="114300" cy="1143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Grp="1"/>
        </xdr:cNvSpPr>
      </xdr:nvSpPr>
      <xdr:spPr>
        <a:xfrm>
          <a:off x="7745519" y="1071777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20</xdr:col>
      <xdr:colOff>0</xdr:colOff>
      <xdr:row>33</xdr:row>
      <xdr:rowOff>63778</xdr:rowOff>
    </xdr:from>
    <xdr:ext cx="372608" cy="3358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Grp="1"/>
        </xdr:cNvSpPr>
      </xdr:nvSpPr>
      <xdr:spPr>
        <a:xfrm flipV="1">
          <a:off x="9570317" y="10751919"/>
          <a:ext cx="372608" cy="3358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20</xdr:col>
      <xdr:colOff>308342</xdr:colOff>
      <xdr:row>33</xdr:row>
      <xdr:rowOff>3830</xdr:rowOff>
    </xdr:from>
    <xdr:ext cx="114300" cy="11430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Grp="1"/>
        </xdr:cNvSpPr>
      </xdr:nvSpPr>
      <xdr:spPr>
        <a:xfrm>
          <a:off x="9858231" y="1072926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25</xdr:col>
      <xdr:colOff>6714</xdr:colOff>
      <xdr:row>33</xdr:row>
      <xdr:rowOff>60423</xdr:rowOff>
    </xdr:from>
    <xdr:ext cx="379321" cy="3357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Grp="1"/>
        </xdr:cNvSpPr>
      </xdr:nvSpPr>
      <xdr:spPr>
        <a:xfrm flipV="1">
          <a:off x="11708617" y="10748564"/>
          <a:ext cx="379321" cy="3357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25</xdr:col>
      <xdr:colOff>308342</xdr:colOff>
      <xdr:row>33</xdr:row>
      <xdr:rowOff>0</xdr:rowOff>
    </xdr:from>
    <xdr:ext cx="114300" cy="114300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Grp="1"/>
        </xdr:cNvSpPr>
      </xdr:nvSpPr>
      <xdr:spPr>
        <a:xfrm>
          <a:off x="11983407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30</xdr:col>
      <xdr:colOff>3358</xdr:colOff>
      <xdr:row>33</xdr:row>
      <xdr:rowOff>50352</xdr:rowOff>
    </xdr:from>
    <xdr:ext cx="379320" cy="0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Grp="1"/>
        </xdr:cNvSpPr>
      </xdr:nvSpPr>
      <xdr:spPr>
        <a:xfrm flipV="1">
          <a:off x="13836847" y="10738493"/>
          <a:ext cx="379320" cy="0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30</xdr:col>
      <xdr:colOff>312171</xdr:colOff>
      <xdr:row>32</xdr:row>
      <xdr:rowOff>264211</xdr:rowOff>
    </xdr:from>
    <xdr:ext cx="114300" cy="114300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Grp="1"/>
        </xdr:cNvSpPr>
      </xdr:nvSpPr>
      <xdr:spPr>
        <a:xfrm>
          <a:off x="14112412" y="10721608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35</xdr:col>
      <xdr:colOff>0</xdr:colOff>
      <xdr:row>33</xdr:row>
      <xdr:rowOff>55853</xdr:rowOff>
    </xdr:from>
    <xdr:ext cx="361950" cy="953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Grp="1"/>
        </xdr:cNvSpPr>
      </xdr:nvSpPr>
      <xdr:spPr>
        <a:xfrm>
          <a:off x="15986042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35</xdr:col>
      <xdr:colOff>304513</xdr:colOff>
      <xdr:row>33</xdr:row>
      <xdr:rowOff>3829</xdr:rowOff>
    </xdr:from>
    <xdr:ext cx="114300" cy="11430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Grp="1"/>
        </xdr:cNvSpPr>
      </xdr:nvSpPr>
      <xdr:spPr>
        <a:xfrm>
          <a:off x="16229930" y="10729266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40</xdr:col>
      <xdr:colOff>3990</xdr:colOff>
      <xdr:row>33</xdr:row>
      <xdr:rowOff>55853</xdr:rowOff>
    </xdr:from>
    <xdr:ext cx="361950" cy="953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Grp="1"/>
        </xdr:cNvSpPr>
      </xdr:nvSpPr>
      <xdr:spPr>
        <a:xfrm>
          <a:off x="18124430" y="10775717"/>
          <a:ext cx="361950" cy="953"/>
        </a:xfrm>
        <a:prstGeom prst="line">
          <a:avLst/>
        </a:prstGeom>
        <a:ln w="20955">
          <a:solidFill>
            <a:srgbClr val="D66A3A"/>
          </a:solidFill>
          <a:prstDash val="solid"/>
        </a:ln>
      </xdr:spPr>
    </xdr:sp>
    <xdr:clientData/>
  </xdr:oneCellAnchor>
  <xdr:oneCellAnchor>
    <xdr:from>
      <xdr:col>40</xdr:col>
      <xdr:colOff>304513</xdr:colOff>
      <xdr:row>33</xdr:row>
      <xdr:rowOff>0</xdr:rowOff>
    </xdr:from>
    <xdr:ext cx="114300" cy="114300"/>
    <xdr:sp macro="" textlink="">
      <xdr:nvSpPr>
        <xdr:cNvPr id="17" name="Shap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Grp="1"/>
        </xdr:cNvSpPr>
      </xdr:nvSpPr>
      <xdr:spPr>
        <a:xfrm>
          <a:off x="18355106" y="10725437"/>
          <a:ext cx="114300" cy="114300"/>
        </a:xfrm>
        <a:prstGeom prst="rightArrow">
          <a:avLst/>
        </a:prstGeom>
        <a:solidFill>
          <a:srgbClr val="D66A3A"/>
        </a:solidFill>
        <a:ln w="4763">
          <a:solidFill>
            <a:srgbClr val="D66A3A"/>
          </a:solidFill>
        </a:ln>
      </xdr:spPr>
    </xdr:sp>
    <xdr:clientData/>
  </xdr:oneCellAnchor>
  <xdr:oneCellAnchor>
    <xdr:from>
      <xdr:col>3</xdr:col>
      <xdr:colOff>48986</xdr:colOff>
      <xdr:row>35</xdr:row>
      <xdr:rowOff>107496</xdr:rowOff>
    </xdr:from>
    <xdr:ext cx="953" cy="904875"/>
    <xdr:sp macro="" textlink="">
      <xdr:nvSpPr>
        <xdr:cNvPr id="18" name="Shap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Grp="1"/>
        </xdr:cNvSpPr>
      </xdr:nvSpPr>
      <xdr:spPr>
        <a:xfrm>
          <a:off x="1104900" y="11325225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</xdr:col>
      <xdr:colOff>419100</xdr:colOff>
      <xdr:row>35</xdr:row>
      <xdr:rowOff>9525</xdr:rowOff>
    </xdr:from>
    <xdr:ext cx="114300" cy="114300"/>
    <xdr:sp macro="" textlink="">
      <xdr:nvSpPr>
        <xdr:cNvPr id="19" name="Shap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8</xdr:col>
      <xdr:colOff>48985</xdr:colOff>
      <xdr:row>35</xdr:row>
      <xdr:rowOff>118382</xdr:rowOff>
    </xdr:from>
    <xdr:ext cx="953" cy="904875"/>
    <xdr:sp macro="" textlink="">
      <xdr:nvSpPr>
        <xdr:cNvPr id="20" name="Shap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Grp="1"/>
        </xdr:cNvSpPr>
      </xdr:nvSpPr>
      <xdr:spPr>
        <a:xfrm>
          <a:off x="3227614" y="11336111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7</xdr:col>
      <xdr:colOff>419100</xdr:colOff>
      <xdr:row>35</xdr:row>
      <xdr:rowOff>9525</xdr:rowOff>
    </xdr:from>
    <xdr:ext cx="114300" cy="114300"/>
    <xdr:sp macro="" textlink="">
      <xdr:nvSpPr>
        <xdr:cNvPr id="21" name="Shap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55670</xdr:colOff>
      <xdr:row>35</xdr:row>
      <xdr:rowOff>116664</xdr:rowOff>
    </xdr:from>
    <xdr:ext cx="953" cy="904875"/>
    <xdr:sp macro="" textlink="">
      <xdr:nvSpPr>
        <xdr:cNvPr id="22" name="Shap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Grp="1"/>
        </xdr:cNvSpPr>
      </xdr:nvSpPr>
      <xdr:spPr>
        <a:xfrm>
          <a:off x="5396354" y="11346138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12</xdr:col>
      <xdr:colOff>419100</xdr:colOff>
      <xdr:row>35</xdr:row>
      <xdr:rowOff>9525</xdr:rowOff>
    </xdr:from>
    <xdr:ext cx="114300" cy="114300"/>
    <xdr:sp macro="" textlink="">
      <xdr:nvSpPr>
        <xdr:cNvPr id="23" name="Shap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18</xdr:col>
      <xdr:colOff>48986</xdr:colOff>
      <xdr:row>35</xdr:row>
      <xdr:rowOff>47625</xdr:rowOff>
    </xdr:from>
    <xdr:ext cx="953" cy="904875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Grp="1"/>
        </xdr:cNvSpPr>
      </xdr:nvSpPr>
      <xdr:spPr>
        <a:xfrm>
          <a:off x="8741229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17</xdr:col>
      <xdr:colOff>419100</xdr:colOff>
      <xdr:row>35</xdr:row>
      <xdr:rowOff>9525</xdr:rowOff>
    </xdr:from>
    <xdr:ext cx="114300" cy="114300"/>
    <xdr:sp macro="" textlink="">
      <xdr:nvSpPr>
        <xdr:cNvPr id="25" name="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23</xdr:col>
      <xdr:colOff>54428</xdr:colOff>
      <xdr:row>35</xdr:row>
      <xdr:rowOff>74840</xdr:rowOff>
    </xdr:from>
    <xdr:ext cx="953" cy="904875"/>
    <xdr:sp macro="" textlink="">
      <xdr:nvSpPr>
        <xdr:cNvPr id="26" name="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Grp="1"/>
        </xdr:cNvSpPr>
      </xdr:nvSpPr>
      <xdr:spPr>
        <a:xfrm>
          <a:off x="10869385" y="11292569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22</xdr:col>
      <xdr:colOff>419100</xdr:colOff>
      <xdr:row>35</xdr:row>
      <xdr:rowOff>9525</xdr:rowOff>
    </xdr:from>
    <xdr:ext cx="114300" cy="114300"/>
    <xdr:sp macro="" textlink="">
      <xdr:nvSpPr>
        <xdr:cNvPr id="27" name="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28</xdr:col>
      <xdr:colOff>48986</xdr:colOff>
      <xdr:row>35</xdr:row>
      <xdr:rowOff>63953</xdr:rowOff>
    </xdr:from>
    <xdr:ext cx="953" cy="904875"/>
    <xdr:sp macro="" textlink="">
      <xdr:nvSpPr>
        <xdr:cNvPr id="28" name="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Grp="1"/>
        </xdr:cNvSpPr>
      </xdr:nvSpPr>
      <xdr:spPr>
        <a:xfrm>
          <a:off x="12986657" y="11281682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27</xdr:col>
      <xdr:colOff>419100</xdr:colOff>
      <xdr:row>35</xdr:row>
      <xdr:rowOff>9525</xdr:rowOff>
    </xdr:from>
    <xdr:ext cx="114300" cy="114300"/>
    <xdr:sp macro="" textlink="">
      <xdr:nvSpPr>
        <xdr:cNvPr id="29" name="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33</xdr:col>
      <xdr:colOff>59872</xdr:colOff>
      <xdr:row>35</xdr:row>
      <xdr:rowOff>53068</xdr:rowOff>
    </xdr:from>
    <xdr:ext cx="953" cy="904875"/>
    <xdr:sp macro="" textlink="">
      <xdr:nvSpPr>
        <xdr:cNvPr id="30" name="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Grp="1"/>
        </xdr:cNvSpPr>
      </xdr:nvSpPr>
      <xdr:spPr>
        <a:xfrm>
          <a:off x="15120258" y="11270797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32</xdr:col>
      <xdr:colOff>419100</xdr:colOff>
      <xdr:row>35</xdr:row>
      <xdr:rowOff>9525</xdr:rowOff>
    </xdr:from>
    <xdr:ext cx="114300" cy="114300"/>
    <xdr:sp macro="" textlink="">
      <xdr:nvSpPr>
        <xdr:cNvPr id="31" name="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38</xdr:col>
      <xdr:colOff>48986</xdr:colOff>
      <xdr:row>35</xdr:row>
      <xdr:rowOff>47625</xdr:rowOff>
    </xdr:from>
    <xdr:ext cx="953" cy="904875"/>
    <xdr:sp macro="" textlink="">
      <xdr:nvSpPr>
        <xdr:cNvPr id="32" name="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Grp="1"/>
        </xdr:cNvSpPr>
      </xdr:nvSpPr>
      <xdr:spPr>
        <a:xfrm>
          <a:off x="17232086" y="11265354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37</xdr:col>
      <xdr:colOff>419100</xdr:colOff>
      <xdr:row>35</xdr:row>
      <xdr:rowOff>9525</xdr:rowOff>
    </xdr:from>
    <xdr:ext cx="114300" cy="114300"/>
    <xdr:sp macro="" textlink="">
      <xdr:nvSpPr>
        <xdr:cNvPr id="33" name="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43</xdr:col>
      <xdr:colOff>54429</xdr:colOff>
      <xdr:row>35</xdr:row>
      <xdr:rowOff>58511</xdr:rowOff>
    </xdr:from>
    <xdr:ext cx="953" cy="904875"/>
    <xdr:sp macro="" textlink="">
      <xdr:nvSpPr>
        <xdr:cNvPr id="34" name="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Grp="1"/>
        </xdr:cNvSpPr>
      </xdr:nvSpPr>
      <xdr:spPr>
        <a:xfrm>
          <a:off x="19360243" y="11276240"/>
          <a:ext cx="953" cy="90487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42</xdr:col>
      <xdr:colOff>419100</xdr:colOff>
      <xdr:row>35</xdr:row>
      <xdr:rowOff>9525</xdr:rowOff>
    </xdr:from>
    <xdr:ext cx="114300" cy="114300"/>
    <xdr:sp macro="" textlink="">
      <xdr:nvSpPr>
        <xdr:cNvPr id="35" name="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10</xdr:col>
      <xdr:colOff>0</xdr:colOff>
      <xdr:row>48</xdr:row>
      <xdr:rowOff>0</xdr:rowOff>
    </xdr:from>
    <xdr:ext cx="238125" cy="953"/>
    <xdr:sp macro="" textlink="">
      <xdr:nvSpPr>
        <xdr:cNvPr id="36" name="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Grp="1"/>
        </xdr:cNvSpPr>
      </xdr:nvSpPr>
      <xdr:spPr>
        <a:xfrm>
          <a:off x="0" y="0"/>
          <a:ext cx="238125" cy="95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10</xdr:col>
      <xdr:colOff>239078</xdr:colOff>
      <xdr:row>35</xdr:row>
      <xdr:rowOff>180974</xdr:rowOff>
    </xdr:from>
    <xdr:ext cx="4762" cy="3286125"/>
    <xdr:sp macro="" textlink="">
      <xdr:nvSpPr>
        <xdr:cNvPr id="37" name="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Grp="1"/>
        </xdr:cNvSpPr>
      </xdr:nvSpPr>
      <xdr:spPr>
        <a:xfrm flipH="1">
          <a:off x="4285298" y="11428094"/>
          <a:ext cx="4762" cy="32861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167640</xdr:colOff>
      <xdr:row>35</xdr:row>
      <xdr:rowOff>177766</xdr:rowOff>
    </xdr:from>
    <xdr:ext cx="510583" cy="1303"/>
    <xdr:sp macro="" textlink="">
      <xdr:nvSpPr>
        <xdr:cNvPr id="38" name="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Grp="1"/>
        </xdr:cNvSpPr>
      </xdr:nvSpPr>
      <xdr:spPr>
        <a:xfrm flipV="1">
          <a:off x="3787140" y="11424886"/>
          <a:ext cx="510583" cy="1303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171450</xdr:colOff>
      <xdr:row>35</xdr:row>
      <xdr:rowOff>9525</xdr:rowOff>
    </xdr:from>
    <xdr:ext cx="953" cy="123825"/>
    <xdr:sp macro="" textlink="">
      <xdr:nvSpPr>
        <xdr:cNvPr id="39" name="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Grp="1"/>
        </xdr:cNvSpPr>
      </xdr:nvSpPr>
      <xdr:spPr>
        <a:xfrm>
          <a:off x="0" y="0"/>
          <a:ext cx="953" cy="123825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  <xdr:oneCellAnchor>
    <xdr:from>
      <xdr:col>9</xdr:col>
      <xdr:colOff>114300</xdr:colOff>
      <xdr:row>35</xdr:row>
      <xdr:rowOff>9525</xdr:rowOff>
    </xdr:from>
    <xdr:ext cx="114300" cy="114300"/>
    <xdr:sp macro="" textlink="">
      <xdr:nvSpPr>
        <xdr:cNvPr id="40" name="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Grp="1"/>
        </xdr:cNvSpPr>
      </xdr:nvSpPr>
      <xdr:spPr>
        <a:xfrm>
          <a:off x="0" y="0"/>
          <a:ext cx="114300" cy="114300"/>
        </a:xfrm>
        <a:prstGeom prst="upArrow">
          <a:avLst/>
        </a:prstGeom>
        <a:solidFill>
          <a:srgbClr val="5A8399"/>
        </a:solidFill>
        <a:ln w="4763">
          <a:solidFill>
            <a:srgbClr val="5A8399"/>
          </a:solidFill>
        </a:ln>
      </xdr:spPr>
    </xdr:sp>
    <xdr:clientData/>
  </xdr:oneCellAnchor>
  <xdr:oneCellAnchor>
    <xdr:from>
      <xdr:col>13</xdr:col>
      <xdr:colOff>34834</xdr:colOff>
      <xdr:row>27</xdr:row>
      <xdr:rowOff>0</xdr:rowOff>
    </xdr:from>
    <xdr:ext cx="953" cy="400050"/>
    <xdr:sp macro="" textlink="">
      <xdr:nvSpPr>
        <xdr:cNvPr id="41" name="Shap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Grp="1"/>
        </xdr:cNvSpPr>
      </xdr:nvSpPr>
      <xdr:spPr>
        <a:xfrm>
          <a:off x="5360125" y="9113520"/>
          <a:ext cx="953" cy="400050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69271</xdr:colOff>
      <xdr:row>28</xdr:row>
      <xdr:rowOff>95249</xdr:rowOff>
    </xdr:from>
    <xdr:ext cx="7647883" cy="43295"/>
    <xdr:sp macro="" textlink="">
      <xdr:nvSpPr>
        <xdr:cNvPr id="42" name="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Grp="1"/>
        </xdr:cNvSpPr>
      </xdr:nvSpPr>
      <xdr:spPr>
        <a:xfrm flipV="1">
          <a:off x="3264476" y="9467272"/>
          <a:ext cx="7647883" cy="43295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8</xdr:col>
      <xdr:colOff>47135</xdr:colOff>
      <xdr:row>28</xdr:row>
      <xdr:rowOff>133684</xdr:rowOff>
    </xdr:from>
    <xdr:ext cx="12415" cy="618958"/>
    <xdr:sp macro="" textlink="">
      <xdr:nvSpPr>
        <xdr:cNvPr id="43" name="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Grp="1"/>
        </xdr:cNvSpPr>
      </xdr:nvSpPr>
      <xdr:spPr>
        <a:xfrm flipH="1">
          <a:off x="3242340" y="9505707"/>
          <a:ext cx="12415" cy="618958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7</xdr:col>
      <xdr:colOff>423505</xdr:colOff>
      <xdr:row>30</xdr:row>
      <xdr:rowOff>145352</xdr:rowOff>
    </xdr:from>
    <xdr:ext cx="114300" cy="114300"/>
    <xdr:sp macro="" textlink="">
      <xdr:nvSpPr>
        <xdr:cNvPr id="44" name="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Grp="1"/>
        </xdr:cNvSpPr>
      </xdr:nvSpPr>
      <xdr:spPr>
        <a:xfrm>
          <a:off x="3194014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13</xdr:col>
      <xdr:colOff>40409</xdr:colOff>
      <xdr:row>28</xdr:row>
      <xdr:rowOff>127000</xdr:rowOff>
    </xdr:from>
    <xdr:ext cx="953" cy="610754"/>
    <xdr:sp macro="" textlink="">
      <xdr:nvSpPr>
        <xdr:cNvPr id="45" name="Shap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Grp="1"/>
        </xdr:cNvSpPr>
      </xdr:nvSpPr>
      <xdr:spPr>
        <a:xfrm>
          <a:off x="5371523" y="9499023"/>
          <a:ext cx="953" cy="61075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12</xdr:col>
      <xdr:colOff>414696</xdr:colOff>
      <xdr:row>30</xdr:row>
      <xdr:rowOff>145353</xdr:rowOff>
    </xdr:from>
    <xdr:ext cx="114300" cy="114300"/>
    <xdr:sp macro="" textlink="">
      <xdr:nvSpPr>
        <xdr:cNvPr id="46" name="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Grp="1"/>
        </xdr:cNvSpPr>
      </xdr:nvSpPr>
      <xdr:spPr>
        <a:xfrm>
          <a:off x="5321447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18</xdr:col>
      <xdr:colOff>50983</xdr:colOff>
      <xdr:row>28</xdr:row>
      <xdr:rowOff>95250</xdr:rowOff>
    </xdr:from>
    <xdr:ext cx="451" cy="675217"/>
    <xdr:sp macro="" textlink="">
      <xdr:nvSpPr>
        <xdr:cNvPr id="47" name="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Grp="1"/>
        </xdr:cNvSpPr>
      </xdr:nvSpPr>
      <xdr:spPr>
        <a:xfrm flipH="1">
          <a:off x="8775883" y="9475470"/>
          <a:ext cx="451" cy="675217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17</xdr:col>
      <xdr:colOff>423504</xdr:colOff>
      <xdr:row>30</xdr:row>
      <xdr:rowOff>145353</xdr:rowOff>
    </xdr:from>
    <xdr:ext cx="114300" cy="114300"/>
    <xdr:sp macro="" textlink="">
      <xdr:nvSpPr>
        <xdr:cNvPr id="48" name="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Grp="1"/>
        </xdr:cNvSpPr>
      </xdr:nvSpPr>
      <xdr:spPr>
        <a:xfrm>
          <a:off x="8730625" y="10086590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23</xdr:col>
      <xdr:colOff>45267</xdr:colOff>
      <xdr:row>28</xdr:row>
      <xdr:rowOff>102870</xdr:rowOff>
    </xdr:from>
    <xdr:ext cx="4263" cy="656014"/>
    <xdr:sp macro="" textlink="">
      <xdr:nvSpPr>
        <xdr:cNvPr id="49" name="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Grp="1"/>
        </xdr:cNvSpPr>
      </xdr:nvSpPr>
      <xdr:spPr>
        <a:xfrm flipH="1">
          <a:off x="10903767" y="9483090"/>
          <a:ext cx="4263" cy="656014"/>
        </a:xfrm>
        <a:prstGeom prst="line">
          <a:avLst/>
        </a:prstGeom>
        <a:ln w="14288">
          <a:solidFill>
            <a:srgbClr val="C87B36"/>
          </a:solidFill>
          <a:prstDash val="solid"/>
        </a:ln>
      </xdr:spPr>
    </xdr:sp>
    <xdr:clientData/>
  </xdr:oneCellAnchor>
  <xdr:oneCellAnchor>
    <xdr:from>
      <xdr:col>22</xdr:col>
      <xdr:colOff>414695</xdr:colOff>
      <xdr:row>30</xdr:row>
      <xdr:rowOff>145352</xdr:rowOff>
    </xdr:from>
    <xdr:ext cx="114300" cy="114300"/>
    <xdr:sp macro="" textlink="">
      <xdr:nvSpPr>
        <xdr:cNvPr id="50" name="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Grp="1"/>
        </xdr:cNvSpPr>
      </xdr:nvSpPr>
      <xdr:spPr>
        <a:xfrm>
          <a:off x="10858059" y="10086589"/>
          <a:ext cx="114300" cy="114300"/>
        </a:xfrm>
        <a:prstGeom prst="downArrow">
          <a:avLst/>
        </a:prstGeom>
        <a:solidFill>
          <a:srgbClr val="C87B36"/>
        </a:solidFill>
        <a:ln w="4763">
          <a:solidFill>
            <a:srgbClr val="C87B36"/>
          </a:solidFill>
        </a:ln>
      </xdr:spPr>
    </xdr:sp>
    <xdr:clientData/>
  </xdr:oneCellAnchor>
  <xdr:oneCellAnchor>
    <xdr:from>
      <xdr:col>9</xdr:col>
      <xdr:colOff>173765</xdr:colOff>
      <xdr:row>35</xdr:row>
      <xdr:rowOff>113246</xdr:rowOff>
    </xdr:from>
    <xdr:ext cx="547" cy="63954"/>
    <xdr:sp macro="" textlink="">
      <xdr:nvSpPr>
        <xdr:cNvPr id="59" name="Shape 21">
          <a:extLst>
            <a:ext uri="{FF2B5EF4-FFF2-40B4-BE49-F238E27FC236}">
              <a16:creationId xmlns:a16="http://schemas.microsoft.com/office/drawing/2014/main" id="{5E15D1CB-77DB-4B6D-8244-DAD46ED7E780}"/>
            </a:ext>
          </a:extLst>
        </xdr:cNvPr>
        <xdr:cNvSpPr>
          <a:spLocks noGrp="1"/>
        </xdr:cNvSpPr>
      </xdr:nvSpPr>
      <xdr:spPr>
        <a:xfrm flipH="1">
          <a:off x="3793265" y="11360366"/>
          <a:ext cx="547" cy="63954"/>
        </a:xfrm>
        <a:prstGeom prst="line">
          <a:avLst/>
        </a:prstGeom>
        <a:ln w="14288">
          <a:solidFill>
            <a:srgbClr val="5A8399"/>
          </a:solidFill>
          <a:prstDash val="solid"/>
        </a:ln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bjetivosXBee" displayName="ObjetivosXBee" ref="A8:I19" totalsRowShown="0">
  <autoFilter ref="A8:I1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Objetivo"/>
    <tableColumn id="2" xr3:uid="{00000000-0010-0000-0100-000002000000}" name="Descripción del objetivo"/>
    <tableColumn id="3" xr3:uid="{00000000-0010-0000-0100-000003000000}" name="Hitos relacionados"/>
    <tableColumn id="4" xr3:uid="{00000000-0010-0000-0100-000004000000}" name="Pruebas previstas"/>
    <tableColumn id="5" xr3:uid="{00000000-0010-0000-0100-000005000000}" name="Pruebas con «Sí»"/>
    <tableColumn id="6" xr3:uid="{00000000-0010-0000-0100-000006000000}" name="¿Objetivo cumplido?" dataDxfId="94">
      <calculatedColumnFormula>IF(E9=D9,"Sí",IF(E9&gt;0,"Parcialmente","No"))</calculatedColumnFormula>
    </tableColumn>
    <tableColumn id="8" xr3:uid="{00000000-0010-0000-0100-000008000000}" name="Faltantes"/>
    <tableColumn id="7" xr3:uid="{3DD8ECF9-3902-4D8B-B161-626E3520FA17}" name="Comentarios" dataDxfId="93"/>
    <tableColumn id="9" xr3:uid="{B458A8FD-4895-4685-816E-EDE388633AA5}" name="Fecha de cierre" dataDxfId="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itosXBee" displayName="HitosXBee" ref="A26:H35" totalsRowShown="0">
  <autoFilter ref="A26:H3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Hito"/>
    <tableColumn id="2" xr3:uid="{00000000-0010-0000-0200-000002000000}" name="Logro esperado"/>
    <tableColumn id="3" xr3:uid="{00000000-0010-0000-0200-000003000000}" name="Objetivos relacionados"/>
    <tableColumn id="4" xr3:uid="{00000000-0010-0000-0200-000004000000}" name="Criterio de cierre"/>
    <tableColumn id="5" xr3:uid="{00000000-0010-0000-0200-000005000000}" name="¿Hito cumplido?"/>
    <tableColumn id="6" xr3:uid="{00000000-0010-0000-0200-000006000000}" name="Faltantes"/>
    <tableColumn id="7" xr3:uid="{00000000-0010-0000-0200-000007000000}" name="Comentarios"/>
    <tableColumn id="8" xr3:uid="{00000000-0010-0000-0200-000008000000}" name="Fecha de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M45"/>
  <sheetViews>
    <sheetView showGridLines="0" tabSelected="1" zoomScale="40" zoomScaleNormal="55" workbookViewId="0">
      <selection activeCell="D27" sqref="D27:D31"/>
    </sheetView>
  </sheetViews>
  <sheetFormatPr baseColWidth="10" defaultColWidth="8.796875" defaultRowHeight="13.8"/>
  <cols>
    <col min="1" max="1" width="24" customWidth="1"/>
    <col min="2" max="2" width="63.296875" customWidth="1"/>
    <col min="3" max="4" width="25" customWidth="1"/>
    <col min="5" max="5" width="29" customWidth="1"/>
    <col min="6" max="6" width="59" customWidth="1"/>
    <col min="7" max="7" width="46" customWidth="1"/>
    <col min="8" max="8" width="20" customWidth="1"/>
    <col min="9" max="9" width="49" customWidth="1"/>
    <col min="10" max="10" width="29" customWidth="1"/>
    <col min="11" max="11" width="18" customWidth="1"/>
    <col min="12" max="12" width="23" customWidth="1"/>
    <col min="13" max="13" width="3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63" customHeight="1">
      <c r="A2" s="64" t="s">
        <v>132</v>
      </c>
      <c r="B2" s="65"/>
      <c r="C2" s="65"/>
      <c r="D2" s="65"/>
      <c r="E2" s="65"/>
      <c r="F2" s="65"/>
      <c r="G2" s="65"/>
      <c r="H2" s="65"/>
      <c r="I2" s="65"/>
      <c r="J2" s="1"/>
      <c r="K2" s="1"/>
      <c r="L2" s="1"/>
      <c r="M2" s="1"/>
    </row>
    <row r="3" spans="1:13" ht="25.05" customHeight="1">
      <c r="A3" s="65"/>
      <c r="B3" s="65"/>
      <c r="C3" s="65"/>
      <c r="D3" s="65"/>
      <c r="E3" s="65"/>
      <c r="F3" s="65"/>
      <c r="G3" s="65"/>
      <c r="H3" s="65"/>
      <c r="I3" s="65"/>
      <c r="J3" s="1"/>
      <c r="K3" s="1"/>
      <c r="L3" s="1"/>
      <c r="M3" s="1"/>
    </row>
    <row r="4" spans="1:13" ht="25.05" customHeight="1">
      <c r="A4" s="65"/>
      <c r="B4" s="65"/>
      <c r="C4" s="65"/>
      <c r="D4" s="65"/>
      <c r="E4" s="65"/>
      <c r="F4" s="65"/>
      <c r="G4" s="65"/>
      <c r="H4" s="65"/>
      <c r="I4" s="65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2" customHeight="1" thickBot="1">
      <c r="A6" s="11" t="s">
        <v>0</v>
      </c>
      <c r="B6" s="12" t="s">
        <v>75</v>
      </c>
      <c r="C6" s="12" t="s">
        <v>123</v>
      </c>
      <c r="D6" s="12" t="s">
        <v>77</v>
      </c>
      <c r="E6" s="12" t="s">
        <v>2</v>
      </c>
      <c r="F6" s="12" t="s">
        <v>3</v>
      </c>
      <c r="G6" s="12" t="s">
        <v>4</v>
      </c>
      <c r="H6" s="12" t="s">
        <v>5</v>
      </c>
      <c r="I6" s="12" t="s">
        <v>6</v>
      </c>
      <c r="J6" s="12" t="s">
        <v>7</v>
      </c>
      <c r="K6" s="12" t="s">
        <v>8</v>
      </c>
      <c r="L6" s="12" t="s">
        <v>9</v>
      </c>
      <c r="M6" s="13" t="s">
        <v>134</v>
      </c>
    </row>
    <row r="7" spans="1:13" ht="126" customHeight="1">
      <c r="A7" s="69" t="s">
        <v>198</v>
      </c>
      <c r="B7" s="67" t="s">
        <v>195</v>
      </c>
      <c r="C7" s="78" t="s">
        <v>10</v>
      </c>
      <c r="D7" s="72">
        <v>2</v>
      </c>
      <c r="E7" s="22" t="s">
        <v>199</v>
      </c>
      <c r="F7" s="7" t="s">
        <v>11</v>
      </c>
      <c r="G7" s="7" t="s">
        <v>12</v>
      </c>
      <c r="H7" s="8" t="s">
        <v>129</v>
      </c>
      <c r="I7" s="4" t="s">
        <v>257</v>
      </c>
      <c r="J7" s="9"/>
      <c r="K7" s="24">
        <v>46295</v>
      </c>
      <c r="L7" s="28" t="s">
        <v>153</v>
      </c>
      <c r="M7" s="14"/>
    </row>
    <row r="8" spans="1:13" ht="126" customHeight="1">
      <c r="A8" s="70"/>
      <c r="B8" s="80"/>
      <c r="C8" s="79" t="s">
        <v>10</v>
      </c>
      <c r="D8" s="74"/>
      <c r="E8" s="22" t="s">
        <v>246</v>
      </c>
      <c r="F8" s="36" t="s">
        <v>13</v>
      </c>
      <c r="G8" s="35" t="s">
        <v>14</v>
      </c>
      <c r="H8" s="16" t="s">
        <v>129</v>
      </c>
      <c r="I8" s="37" t="s">
        <v>245</v>
      </c>
      <c r="J8" s="17"/>
      <c r="K8" s="39" t="s">
        <v>130</v>
      </c>
      <c r="L8" s="38" t="s">
        <v>153</v>
      </c>
      <c r="M8" s="41"/>
    </row>
    <row r="9" spans="1:13" ht="126" customHeight="1">
      <c r="A9" s="69" t="s">
        <v>125</v>
      </c>
      <c r="B9" s="71" t="s">
        <v>80</v>
      </c>
      <c r="C9" s="71" t="s">
        <v>15</v>
      </c>
      <c r="D9" s="67">
        <v>5</v>
      </c>
      <c r="E9" s="22" t="s">
        <v>135</v>
      </c>
      <c r="F9" s="3" t="s">
        <v>16</v>
      </c>
      <c r="G9" s="3" t="s">
        <v>17</v>
      </c>
      <c r="H9" s="34" t="s">
        <v>129</v>
      </c>
      <c r="I9" s="4" t="s">
        <v>238</v>
      </c>
      <c r="J9" s="40"/>
      <c r="K9" s="58">
        <v>46152</v>
      </c>
      <c r="L9" s="25" t="s">
        <v>153</v>
      </c>
      <c r="M9" s="30"/>
    </row>
    <row r="10" spans="1:13" ht="126" customHeight="1">
      <c r="A10" s="69"/>
      <c r="B10" s="72"/>
      <c r="C10" s="73"/>
      <c r="D10" s="82"/>
      <c r="E10" s="22" t="s">
        <v>136</v>
      </c>
      <c r="F10" s="15" t="s">
        <v>18</v>
      </c>
      <c r="G10" s="15" t="s">
        <v>19</v>
      </c>
      <c r="H10" s="5" t="s">
        <v>129</v>
      </c>
      <c r="I10" s="17" t="s">
        <v>239</v>
      </c>
      <c r="J10" s="17"/>
      <c r="K10" s="58">
        <v>46152</v>
      </c>
      <c r="L10" s="25" t="s">
        <v>153</v>
      </c>
      <c r="M10" s="18"/>
    </row>
    <row r="11" spans="1:13" ht="126" customHeight="1">
      <c r="A11" s="69"/>
      <c r="B11" s="72"/>
      <c r="C11" s="73"/>
      <c r="D11" s="82"/>
      <c r="E11" s="22" t="s">
        <v>154</v>
      </c>
      <c r="F11" s="15" t="s">
        <v>157</v>
      </c>
      <c r="G11" s="15" t="s">
        <v>158</v>
      </c>
      <c r="H11" s="42" t="s">
        <v>129</v>
      </c>
      <c r="I11" s="17" t="s">
        <v>240</v>
      </c>
      <c r="J11" s="17"/>
      <c r="K11" s="58">
        <v>46152</v>
      </c>
      <c r="L11" s="25" t="s">
        <v>153</v>
      </c>
      <c r="M11" s="18"/>
    </row>
    <row r="12" spans="1:13" ht="126" customHeight="1">
      <c r="A12" s="69"/>
      <c r="B12" s="72"/>
      <c r="C12" s="73"/>
      <c r="D12" s="82"/>
      <c r="E12" s="22" t="s">
        <v>156</v>
      </c>
      <c r="F12" s="15" t="s">
        <v>159</v>
      </c>
      <c r="G12" s="15" t="s">
        <v>160</v>
      </c>
      <c r="H12" s="42" t="s">
        <v>129</v>
      </c>
      <c r="I12" s="17" t="s">
        <v>241</v>
      </c>
      <c r="J12" s="59"/>
      <c r="K12" s="25" t="s">
        <v>264</v>
      </c>
      <c r="L12" s="25" t="s">
        <v>153</v>
      </c>
      <c r="M12" s="60"/>
    </row>
    <row r="13" spans="1:13" ht="126" customHeight="1">
      <c r="A13" s="70"/>
      <c r="B13" s="81"/>
      <c r="C13" s="74"/>
      <c r="D13" s="83"/>
      <c r="E13" s="22" t="s">
        <v>155</v>
      </c>
      <c r="F13" s="36" t="s">
        <v>20</v>
      </c>
      <c r="G13" s="15" t="s">
        <v>21</v>
      </c>
      <c r="H13" s="34" t="s">
        <v>129</v>
      </c>
      <c r="I13" s="37"/>
      <c r="J13" s="17"/>
      <c r="K13" s="25" t="s">
        <v>269</v>
      </c>
      <c r="L13" s="25" t="s">
        <v>153</v>
      </c>
      <c r="M13" s="41"/>
    </row>
    <row r="14" spans="1:13" ht="126" customHeight="1">
      <c r="A14" s="67" t="s">
        <v>22</v>
      </c>
      <c r="B14" s="71" t="s">
        <v>81</v>
      </c>
      <c r="C14" s="71" t="s">
        <v>15</v>
      </c>
      <c r="D14" s="67">
        <v>5</v>
      </c>
      <c r="E14" s="22" t="s">
        <v>137</v>
      </c>
      <c r="F14" s="3" t="s">
        <v>23</v>
      </c>
      <c r="G14" s="43" t="s">
        <v>24</v>
      </c>
      <c r="H14" s="5" t="s">
        <v>129</v>
      </c>
      <c r="I14" s="4" t="s">
        <v>242</v>
      </c>
      <c r="J14" s="59"/>
      <c r="K14" s="58">
        <v>46152</v>
      </c>
      <c r="L14" s="25" t="s">
        <v>153</v>
      </c>
      <c r="M14" s="60"/>
    </row>
    <row r="15" spans="1:13" ht="126" customHeight="1">
      <c r="A15" s="67"/>
      <c r="B15" s="73"/>
      <c r="C15" s="73"/>
      <c r="D15" s="82"/>
      <c r="E15" s="22" t="s">
        <v>138</v>
      </c>
      <c r="F15" s="15" t="s">
        <v>25</v>
      </c>
      <c r="G15" s="15" t="s">
        <v>26</v>
      </c>
      <c r="H15" s="42" t="s">
        <v>129</v>
      </c>
      <c r="I15" s="17" t="s">
        <v>243</v>
      </c>
      <c r="J15" s="59"/>
      <c r="K15" s="58">
        <v>46152</v>
      </c>
      <c r="L15" s="25" t="s">
        <v>153</v>
      </c>
      <c r="M15" s="60"/>
    </row>
    <row r="16" spans="1:13" ht="126" customHeight="1">
      <c r="A16" s="67"/>
      <c r="B16" s="73"/>
      <c r="C16" s="73"/>
      <c r="D16" s="82"/>
      <c r="E16" s="22" t="s">
        <v>139</v>
      </c>
      <c r="F16" s="15" t="s">
        <v>27</v>
      </c>
      <c r="G16" s="15" t="s">
        <v>28</v>
      </c>
      <c r="H16" s="42" t="s">
        <v>129</v>
      </c>
      <c r="I16" s="17"/>
      <c r="J16" s="17"/>
      <c r="K16" s="25" t="s">
        <v>264</v>
      </c>
      <c r="L16" s="25" t="s">
        <v>153</v>
      </c>
      <c r="M16" s="18"/>
    </row>
    <row r="17" spans="1:13" ht="126" customHeight="1">
      <c r="A17" s="67"/>
      <c r="B17" s="73"/>
      <c r="C17" s="73"/>
      <c r="D17" s="82"/>
      <c r="E17" s="22" t="s">
        <v>140</v>
      </c>
      <c r="F17" s="15" t="s">
        <v>29</v>
      </c>
      <c r="G17" s="15" t="s">
        <v>30</v>
      </c>
      <c r="H17" s="34" t="s">
        <v>129</v>
      </c>
      <c r="I17" s="17"/>
      <c r="J17" s="17"/>
      <c r="K17" s="25" t="s">
        <v>264</v>
      </c>
      <c r="L17" s="25" t="s">
        <v>153</v>
      </c>
      <c r="M17" s="18"/>
    </row>
    <row r="18" spans="1:13" ht="126" customHeight="1">
      <c r="A18" s="67"/>
      <c r="B18" s="74"/>
      <c r="C18" s="74"/>
      <c r="D18" s="83"/>
      <c r="E18" s="22" t="s">
        <v>162</v>
      </c>
      <c r="F18" s="36" t="s">
        <v>163</v>
      </c>
      <c r="G18" s="15" t="s">
        <v>161</v>
      </c>
      <c r="H18" s="5" t="s">
        <v>129</v>
      </c>
      <c r="I18" s="37" t="s">
        <v>244</v>
      </c>
      <c r="J18" s="61"/>
      <c r="K18" s="25" t="s">
        <v>264</v>
      </c>
      <c r="L18" s="25" t="s">
        <v>153</v>
      </c>
      <c r="M18" s="60"/>
    </row>
    <row r="19" spans="1:13" ht="126" customHeight="1">
      <c r="A19" s="68" t="s">
        <v>126</v>
      </c>
      <c r="B19" s="71" t="s">
        <v>152</v>
      </c>
      <c r="C19" s="71" t="s">
        <v>32</v>
      </c>
      <c r="D19" s="67">
        <v>5</v>
      </c>
      <c r="E19" s="22" t="s">
        <v>141</v>
      </c>
      <c r="F19" s="3" t="s">
        <v>143</v>
      </c>
      <c r="G19" s="43" t="s">
        <v>142</v>
      </c>
      <c r="H19" s="34" t="s">
        <v>129</v>
      </c>
      <c r="I19" s="4" t="s">
        <v>247</v>
      </c>
      <c r="J19" s="61"/>
      <c r="K19" s="58">
        <v>46152</v>
      </c>
      <c r="L19" s="25" t="s">
        <v>153</v>
      </c>
      <c r="M19" s="60"/>
    </row>
    <row r="20" spans="1:13" ht="126" customHeight="1">
      <c r="A20" s="69" t="s">
        <v>31</v>
      </c>
      <c r="B20" s="73"/>
      <c r="C20" s="73"/>
      <c r="D20" s="82"/>
      <c r="E20" s="22" t="s">
        <v>145</v>
      </c>
      <c r="F20" s="15" t="s">
        <v>33</v>
      </c>
      <c r="G20" s="15" t="s">
        <v>34</v>
      </c>
      <c r="H20" s="5" t="s">
        <v>129</v>
      </c>
      <c r="I20" s="17" t="s">
        <v>248</v>
      </c>
      <c r="J20" s="61"/>
      <c r="K20" s="58">
        <v>46152</v>
      </c>
      <c r="L20" s="25" t="s">
        <v>153</v>
      </c>
      <c r="M20" s="60"/>
    </row>
    <row r="21" spans="1:13" ht="126" customHeight="1">
      <c r="A21" s="69"/>
      <c r="B21" s="73"/>
      <c r="C21" s="73"/>
      <c r="D21" s="82"/>
      <c r="E21" s="22" t="s">
        <v>148</v>
      </c>
      <c r="F21" s="15" t="s">
        <v>144</v>
      </c>
      <c r="G21" s="15" t="s">
        <v>146</v>
      </c>
      <c r="H21" s="34" t="s">
        <v>129</v>
      </c>
      <c r="I21" s="17" t="s">
        <v>249</v>
      </c>
      <c r="J21" s="61"/>
      <c r="K21" s="58">
        <v>46152</v>
      </c>
      <c r="L21" s="25" t="s">
        <v>153</v>
      </c>
      <c r="M21" s="60"/>
    </row>
    <row r="22" spans="1:13" ht="126" customHeight="1">
      <c r="A22" s="69"/>
      <c r="B22" s="73"/>
      <c r="C22" s="73"/>
      <c r="D22" s="82"/>
      <c r="E22" s="22" t="s">
        <v>147</v>
      </c>
      <c r="F22" s="15" t="s">
        <v>149</v>
      </c>
      <c r="G22" s="15" t="s">
        <v>150</v>
      </c>
      <c r="H22" s="5" t="s">
        <v>129</v>
      </c>
      <c r="I22" s="17" t="s">
        <v>256</v>
      </c>
      <c r="J22" s="61"/>
      <c r="K22" s="58">
        <v>46152</v>
      </c>
      <c r="L22" s="25" t="s">
        <v>153</v>
      </c>
      <c r="M22" s="60"/>
    </row>
    <row r="23" spans="1:13" ht="126" customHeight="1">
      <c r="A23" s="69" t="s">
        <v>31</v>
      </c>
      <c r="B23" s="74"/>
      <c r="C23" s="74"/>
      <c r="D23" s="83"/>
      <c r="E23" s="22" t="s">
        <v>151</v>
      </c>
      <c r="F23" s="36" t="s">
        <v>35</v>
      </c>
      <c r="G23" s="15" t="s">
        <v>36</v>
      </c>
      <c r="H23" s="42" t="s">
        <v>129</v>
      </c>
      <c r="I23" s="17"/>
      <c r="J23" s="17"/>
      <c r="K23" s="25" t="s">
        <v>264</v>
      </c>
      <c r="L23" s="25" t="s">
        <v>153</v>
      </c>
      <c r="M23" s="41"/>
    </row>
    <row r="24" spans="1:13" ht="126" customHeight="1">
      <c r="A24" s="68" t="s">
        <v>168</v>
      </c>
      <c r="B24" s="71" t="s">
        <v>85</v>
      </c>
      <c r="C24" s="71" t="s">
        <v>40</v>
      </c>
      <c r="D24" s="67">
        <v>3</v>
      </c>
      <c r="E24" s="22" t="s">
        <v>171</v>
      </c>
      <c r="F24" s="3" t="s">
        <v>44</v>
      </c>
      <c r="G24" s="43" t="s">
        <v>45</v>
      </c>
      <c r="H24" s="34" t="s">
        <v>129</v>
      </c>
      <c r="I24" s="40" t="s">
        <v>250</v>
      </c>
      <c r="J24" s="61"/>
      <c r="K24" s="58">
        <v>46275</v>
      </c>
      <c r="L24" s="25" t="s">
        <v>153</v>
      </c>
      <c r="M24" s="60"/>
    </row>
    <row r="25" spans="1:13" ht="126" customHeight="1">
      <c r="A25" s="69" t="s">
        <v>43</v>
      </c>
      <c r="B25" s="73"/>
      <c r="C25" s="73"/>
      <c r="D25" s="82"/>
      <c r="E25" s="22" t="s">
        <v>172</v>
      </c>
      <c r="F25" s="15" t="s">
        <v>46</v>
      </c>
      <c r="G25" s="15" t="s">
        <v>47</v>
      </c>
      <c r="H25" s="5" t="s">
        <v>129</v>
      </c>
      <c r="I25" s="17"/>
      <c r="J25" s="17"/>
      <c r="K25" s="25" t="s">
        <v>264</v>
      </c>
      <c r="L25" s="25" t="s">
        <v>153</v>
      </c>
      <c r="M25" s="18"/>
    </row>
    <row r="26" spans="1:13" ht="126" customHeight="1">
      <c r="A26" s="70" t="s">
        <v>43</v>
      </c>
      <c r="B26" s="74"/>
      <c r="C26" s="74"/>
      <c r="D26" s="83"/>
      <c r="E26" s="22" t="s">
        <v>173</v>
      </c>
      <c r="F26" s="36" t="s">
        <v>48</v>
      </c>
      <c r="G26" s="15" t="s">
        <v>49</v>
      </c>
      <c r="H26" s="42" t="s">
        <v>129</v>
      </c>
      <c r="I26" s="17"/>
      <c r="J26" s="17"/>
      <c r="K26" s="25" t="s">
        <v>264</v>
      </c>
      <c r="L26" s="25" t="s">
        <v>153</v>
      </c>
      <c r="M26" s="18"/>
    </row>
    <row r="27" spans="1:13" ht="126" customHeight="1">
      <c r="A27" s="68" t="s">
        <v>169</v>
      </c>
      <c r="B27" s="71" t="s">
        <v>86</v>
      </c>
      <c r="C27" s="77" t="s">
        <v>50</v>
      </c>
      <c r="D27" s="71">
        <v>5</v>
      </c>
      <c r="E27" s="22" t="s">
        <v>174</v>
      </c>
      <c r="F27" s="3" t="s">
        <v>164</v>
      </c>
      <c r="G27" s="43" t="s">
        <v>51</v>
      </c>
      <c r="H27" s="34" t="s">
        <v>129</v>
      </c>
      <c r="I27" s="40" t="s">
        <v>255</v>
      </c>
      <c r="J27" s="61"/>
      <c r="K27" s="58">
        <v>46275</v>
      </c>
      <c r="L27" s="25" t="s">
        <v>153</v>
      </c>
      <c r="M27" s="60"/>
    </row>
    <row r="28" spans="1:13" ht="126" customHeight="1">
      <c r="A28" s="69"/>
      <c r="B28" s="73"/>
      <c r="C28" s="75"/>
      <c r="D28" s="73"/>
      <c r="E28" s="22" t="s">
        <v>175</v>
      </c>
      <c r="F28" s="15" t="s">
        <v>165</v>
      </c>
      <c r="G28" s="15" t="s">
        <v>52</v>
      </c>
      <c r="H28" s="34" t="s">
        <v>129</v>
      </c>
      <c r="I28" s="17" t="s">
        <v>254</v>
      </c>
      <c r="J28" s="61"/>
      <c r="K28" s="58">
        <v>46275</v>
      </c>
      <c r="L28" s="25" t="s">
        <v>153</v>
      </c>
      <c r="M28" s="60"/>
    </row>
    <row r="29" spans="1:13" ht="126" customHeight="1">
      <c r="A29" s="69"/>
      <c r="B29" s="73"/>
      <c r="C29" s="75"/>
      <c r="D29" s="73"/>
      <c r="E29" s="22" t="s">
        <v>176</v>
      </c>
      <c r="F29" s="15" t="s">
        <v>53</v>
      </c>
      <c r="G29" s="15" t="s">
        <v>54</v>
      </c>
      <c r="H29" s="5" t="s">
        <v>129</v>
      </c>
      <c r="I29" s="17" t="s">
        <v>251</v>
      </c>
      <c r="J29" s="61"/>
      <c r="K29" s="58">
        <v>46275</v>
      </c>
      <c r="L29" s="25" t="s">
        <v>153</v>
      </c>
      <c r="M29" s="60"/>
    </row>
    <row r="30" spans="1:13" ht="126" customHeight="1">
      <c r="A30" s="69"/>
      <c r="B30" s="73"/>
      <c r="C30" s="75"/>
      <c r="D30" s="73"/>
      <c r="E30" s="22" t="s">
        <v>177</v>
      </c>
      <c r="F30" s="15" t="s">
        <v>55</v>
      </c>
      <c r="G30" s="15" t="s">
        <v>56</v>
      </c>
      <c r="H30" s="42" t="s">
        <v>129</v>
      </c>
      <c r="I30" s="17" t="s">
        <v>252</v>
      </c>
      <c r="J30" s="61"/>
      <c r="K30" s="58">
        <v>46275</v>
      </c>
      <c r="L30" s="25" t="s">
        <v>153</v>
      </c>
      <c r="M30" s="60"/>
    </row>
    <row r="31" spans="1:13" ht="126" customHeight="1">
      <c r="A31" s="69"/>
      <c r="B31" s="74"/>
      <c r="C31" s="76"/>
      <c r="D31" s="74"/>
      <c r="E31" s="22" t="s">
        <v>178</v>
      </c>
      <c r="F31" s="36" t="s">
        <v>57</v>
      </c>
      <c r="G31" s="15" t="s">
        <v>58</v>
      </c>
      <c r="H31" s="34" t="s">
        <v>129</v>
      </c>
      <c r="I31" s="37"/>
      <c r="J31" s="17"/>
      <c r="K31" s="25" t="s">
        <v>264</v>
      </c>
      <c r="L31" s="25" t="s">
        <v>153</v>
      </c>
      <c r="M31" s="41"/>
    </row>
    <row r="32" spans="1:13" ht="126" customHeight="1">
      <c r="A32" s="68" t="s">
        <v>170</v>
      </c>
      <c r="B32" s="71" t="s">
        <v>83</v>
      </c>
      <c r="C32" s="71" t="s">
        <v>124</v>
      </c>
      <c r="D32" s="71">
        <v>3</v>
      </c>
      <c r="E32" s="22" t="s">
        <v>179</v>
      </c>
      <c r="F32" s="3" t="s">
        <v>38</v>
      </c>
      <c r="G32" s="43" t="s">
        <v>39</v>
      </c>
      <c r="H32" s="5" t="s">
        <v>129</v>
      </c>
      <c r="I32" s="4" t="s">
        <v>253</v>
      </c>
      <c r="J32" s="61"/>
      <c r="K32" s="58">
        <v>46275</v>
      </c>
      <c r="L32" s="25" t="s">
        <v>153</v>
      </c>
      <c r="M32" s="60"/>
    </row>
    <row r="33" spans="1:13" ht="131.4" customHeight="1">
      <c r="A33" s="69" t="s">
        <v>37</v>
      </c>
      <c r="B33" s="73"/>
      <c r="C33" s="73"/>
      <c r="D33" s="73"/>
      <c r="E33" s="22" t="s">
        <v>180</v>
      </c>
      <c r="F33" s="15" t="s">
        <v>41</v>
      </c>
      <c r="G33" s="15" t="s">
        <v>42</v>
      </c>
      <c r="H33" s="42" t="s">
        <v>129</v>
      </c>
      <c r="I33" s="17"/>
      <c r="J33" s="17"/>
      <c r="K33" s="25" t="s">
        <v>264</v>
      </c>
      <c r="L33" s="25" t="s">
        <v>153</v>
      </c>
      <c r="M33" s="18"/>
    </row>
    <row r="34" spans="1:13" ht="111.6" customHeight="1">
      <c r="A34" s="70" t="s">
        <v>37</v>
      </c>
      <c r="B34" s="74"/>
      <c r="C34" s="74"/>
      <c r="D34" s="74"/>
      <c r="E34" s="33" t="s">
        <v>181</v>
      </c>
      <c r="F34" s="36" t="s">
        <v>166</v>
      </c>
      <c r="G34" s="35" t="s">
        <v>167</v>
      </c>
      <c r="H34" s="42" t="s">
        <v>129</v>
      </c>
      <c r="I34" s="17"/>
      <c r="J34" s="17"/>
      <c r="K34" s="25" t="s">
        <v>269</v>
      </c>
      <c r="L34" s="25" t="s">
        <v>153</v>
      </c>
      <c r="M34" s="18"/>
    </row>
    <row r="35" spans="1:13" ht="126" customHeight="1">
      <c r="A35" s="67" t="s">
        <v>127</v>
      </c>
      <c r="B35" s="71" t="s">
        <v>87</v>
      </c>
      <c r="C35" s="72" t="s">
        <v>60</v>
      </c>
      <c r="D35" s="67">
        <v>3</v>
      </c>
      <c r="E35" s="22" t="s">
        <v>182</v>
      </c>
      <c r="F35" s="3" t="s">
        <v>61</v>
      </c>
      <c r="G35" s="3" t="s">
        <v>62</v>
      </c>
      <c r="H35" s="42" t="s">
        <v>129</v>
      </c>
      <c r="I35" s="40" t="s">
        <v>258</v>
      </c>
      <c r="J35" s="61"/>
      <c r="K35" s="58">
        <v>46275</v>
      </c>
      <c r="L35" s="25" t="s">
        <v>153</v>
      </c>
      <c r="M35" s="60"/>
    </row>
    <row r="36" spans="1:13" ht="126" customHeight="1">
      <c r="A36" s="67" t="s">
        <v>59</v>
      </c>
      <c r="B36" s="73"/>
      <c r="C36" s="73"/>
      <c r="D36" s="82"/>
      <c r="E36" s="22" t="s">
        <v>190</v>
      </c>
      <c r="F36" s="15" t="s">
        <v>63</v>
      </c>
      <c r="G36" s="15" t="s">
        <v>64</v>
      </c>
      <c r="H36" s="34" t="s">
        <v>129</v>
      </c>
      <c r="I36" s="17"/>
      <c r="J36" s="17"/>
      <c r="K36" s="25" t="s">
        <v>269</v>
      </c>
      <c r="L36" s="25" t="s">
        <v>153</v>
      </c>
      <c r="M36" s="18"/>
    </row>
    <row r="37" spans="1:13" ht="126" customHeight="1">
      <c r="A37" s="67" t="s">
        <v>59</v>
      </c>
      <c r="B37" s="74"/>
      <c r="C37" s="74"/>
      <c r="D37" s="83"/>
      <c r="E37" s="22" t="s">
        <v>191</v>
      </c>
      <c r="F37" s="15" t="s">
        <v>183</v>
      </c>
      <c r="G37" s="15" t="s">
        <v>184</v>
      </c>
      <c r="H37" s="34" t="s">
        <v>129</v>
      </c>
      <c r="I37" s="37"/>
      <c r="J37" s="37"/>
      <c r="K37" s="25" t="s">
        <v>269</v>
      </c>
      <c r="L37" s="25" t="s">
        <v>153</v>
      </c>
      <c r="M37" s="41"/>
    </row>
    <row r="38" spans="1:13" ht="126" customHeight="1">
      <c r="A38" s="56" t="s">
        <v>128</v>
      </c>
      <c r="B38" s="56" t="s">
        <v>88</v>
      </c>
      <c r="C38" s="56" t="s">
        <v>65</v>
      </c>
      <c r="D38" s="23">
        <v>1</v>
      </c>
      <c r="E38" s="22" t="s">
        <v>266</v>
      </c>
      <c r="F38" s="31" t="s">
        <v>193</v>
      </c>
      <c r="G38" s="47" t="s">
        <v>194</v>
      </c>
      <c r="H38" s="34" t="s">
        <v>129</v>
      </c>
      <c r="I38" s="4" t="s">
        <v>259</v>
      </c>
      <c r="J38" s="61"/>
      <c r="K38" s="58">
        <v>46275</v>
      </c>
      <c r="L38" s="25" t="s">
        <v>153</v>
      </c>
      <c r="M38" s="60"/>
    </row>
    <row r="39" spans="1:13" ht="126" customHeight="1">
      <c r="A39" s="67" t="s">
        <v>202</v>
      </c>
      <c r="B39" s="77" t="s">
        <v>203</v>
      </c>
      <c r="C39" s="71" t="s">
        <v>204</v>
      </c>
      <c r="D39" s="68">
        <v>3</v>
      </c>
      <c r="E39" s="22" t="s">
        <v>205</v>
      </c>
      <c r="F39" s="31" t="s">
        <v>208</v>
      </c>
      <c r="G39" s="47" t="s">
        <v>211</v>
      </c>
      <c r="H39" s="34" t="s">
        <v>129</v>
      </c>
      <c r="I39" s="49" t="s">
        <v>260</v>
      </c>
      <c r="J39" s="61"/>
      <c r="K39" s="58">
        <v>46275</v>
      </c>
      <c r="L39" s="25" t="s">
        <v>153</v>
      </c>
      <c r="M39" s="60"/>
    </row>
    <row r="40" spans="1:13" ht="126" customHeight="1">
      <c r="A40" s="75"/>
      <c r="B40" s="75"/>
      <c r="C40" s="73"/>
      <c r="D40" s="82"/>
      <c r="E40" s="22" t="s">
        <v>206</v>
      </c>
      <c r="F40" s="31" t="s">
        <v>209</v>
      </c>
      <c r="G40" s="47" t="s">
        <v>212</v>
      </c>
      <c r="H40" s="34" t="s">
        <v>121</v>
      </c>
      <c r="I40" s="4"/>
      <c r="J40" s="49"/>
      <c r="K40" s="48"/>
      <c r="L40" s="49"/>
      <c r="M40" s="51"/>
    </row>
    <row r="41" spans="1:13" ht="126" customHeight="1">
      <c r="A41" s="76"/>
      <c r="B41" s="76"/>
      <c r="C41" s="74"/>
      <c r="D41" s="83"/>
      <c r="E41" s="22" t="s">
        <v>207</v>
      </c>
      <c r="F41" s="31" t="s">
        <v>210</v>
      </c>
      <c r="G41" s="47" t="s">
        <v>213</v>
      </c>
      <c r="H41" s="34" t="s">
        <v>129</v>
      </c>
      <c r="I41" s="49"/>
      <c r="J41" s="38" t="s">
        <v>267</v>
      </c>
      <c r="K41" s="25" t="s">
        <v>264</v>
      </c>
      <c r="L41" s="48" t="s">
        <v>153</v>
      </c>
      <c r="M41" s="51"/>
    </row>
    <row r="42" spans="1:13" ht="126" customHeight="1">
      <c r="A42" s="68" t="s">
        <v>215</v>
      </c>
      <c r="B42" s="71" t="s">
        <v>196</v>
      </c>
      <c r="C42" s="71" t="s">
        <v>200</v>
      </c>
      <c r="D42" s="67">
        <v>3</v>
      </c>
      <c r="E42" s="22" t="s">
        <v>216</v>
      </c>
      <c r="F42" s="46" t="s">
        <v>68</v>
      </c>
      <c r="G42" s="3" t="s">
        <v>69</v>
      </c>
      <c r="H42" s="34" t="s">
        <v>121</v>
      </c>
      <c r="I42" s="40"/>
      <c r="J42" s="40"/>
      <c r="K42" s="44"/>
      <c r="L42" s="4"/>
      <c r="M42" s="45"/>
    </row>
    <row r="43" spans="1:13" ht="126" customHeight="1">
      <c r="A43" s="69" t="s">
        <v>66</v>
      </c>
      <c r="B43" s="73"/>
      <c r="C43" s="72" t="s">
        <v>67</v>
      </c>
      <c r="D43" s="82"/>
      <c r="E43" s="22" t="s">
        <v>217</v>
      </c>
      <c r="F43" s="15" t="s">
        <v>70</v>
      </c>
      <c r="G43" s="15" t="s">
        <v>71</v>
      </c>
      <c r="H43" s="42" t="s">
        <v>121</v>
      </c>
      <c r="I43" s="17"/>
      <c r="J43" s="17"/>
      <c r="K43" s="25"/>
      <c r="L43" s="17"/>
      <c r="M43" s="18"/>
    </row>
    <row r="44" spans="1:13" ht="126" customHeight="1">
      <c r="A44" s="70" t="s">
        <v>66</v>
      </c>
      <c r="B44" s="74"/>
      <c r="C44" s="72" t="s">
        <v>67</v>
      </c>
      <c r="D44" s="83"/>
      <c r="E44" s="22" t="s">
        <v>218</v>
      </c>
      <c r="F44" s="19" t="s">
        <v>72</v>
      </c>
      <c r="G44" s="19" t="s">
        <v>73</v>
      </c>
      <c r="H44" s="50" t="s">
        <v>121</v>
      </c>
      <c r="I44" s="20"/>
      <c r="J44" s="20"/>
      <c r="K44" s="26"/>
      <c r="L44" s="20"/>
      <c r="M44" s="21"/>
    </row>
    <row r="45" spans="1:13">
      <c r="C45" s="62"/>
    </row>
  </sheetData>
  <mergeCells count="41">
    <mergeCell ref="D19:D23"/>
    <mergeCell ref="D14:D18"/>
    <mergeCell ref="D9:D13"/>
    <mergeCell ref="D7:D8"/>
    <mergeCell ref="D42:D44"/>
    <mergeCell ref="D35:D37"/>
    <mergeCell ref="D27:D31"/>
    <mergeCell ref="D24:D26"/>
    <mergeCell ref="D39:D41"/>
    <mergeCell ref="D32:D34"/>
    <mergeCell ref="C7:C8"/>
    <mergeCell ref="B7:B8"/>
    <mergeCell ref="C9:C13"/>
    <mergeCell ref="C14:C18"/>
    <mergeCell ref="A2:I4"/>
    <mergeCell ref="A9:A13"/>
    <mergeCell ref="A14:A18"/>
    <mergeCell ref="B9:B13"/>
    <mergeCell ref="B14:B18"/>
    <mergeCell ref="A7:A8"/>
    <mergeCell ref="A27:A31"/>
    <mergeCell ref="C27:C31"/>
    <mergeCell ref="B27:B31"/>
    <mergeCell ref="A19:A23"/>
    <mergeCell ref="A32:A34"/>
    <mergeCell ref="A24:A26"/>
    <mergeCell ref="B19:B23"/>
    <mergeCell ref="B32:B34"/>
    <mergeCell ref="B24:B26"/>
    <mergeCell ref="C19:C23"/>
    <mergeCell ref="C24:C26"/>
    <mergeCell ref="C32:C34"/>
    <mergeCell ref="A35:A37"/>
    <mergeCell ref="A42:A44"/>
    <mergeCell ref="C42:C44"/>
    <mergeCell ref="B35:B37"/>
    <mergeCell ref="B42:B44"/>
    <mergeCell ref="C35:C37"/>
    <mergeCell ref="A39:A41"/>
    <mergeCell ref="B39:B41"/>
    <mergeCell ref="C39:C41"/>
  </mergeCells>
  <conditionalFormatting sqref="H7:H44">
    <cfRule type="cellIs" dxfId="91" priority="1" operator="equal">
      <formula>"Sí"</formula>
    </cfRule>
    <cfRule type="cellIs" dxfId="90" priority="2" operator="equal">
      <formula>"Parcialmente"</formula>
    </cfRule>
    <cfRule type="cellIs" dxfId="89" priority="3" operator="equal">
      <formula>"No"</formula>
    </cfRule>
    <cfRule type="cellIs" dxfId="88" priority="4" operator="equal">
      <formula>"Sin probar"</formula>
    </cfRule>
  </conditionalFormatting>
  <dataValidations count="1">
    <dataValidation type="list" sqref="H7:H44" xr:uid="{00000000-0002-0000-0000-000000000000}">
      <formula1>"Sí,Parcialmente,No,Sin probar"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475C"/>
  </sheetPr>
  <dimension ref="A1:I40"/>
  <sheetViews>
    <sheetView showGridLines="0" topLeftCell="A10" zoomScale="61" zoomScaleNormal="50" workbookViewId="0">
      <selection activeCell="H11" sqref="H11"/>
    </sheetView>
  </sheetViews>
  <sheetFormatPr baseColWidth="10" defaultColWidth="8.796875" defaultRowHeight="13.8"/>
  <cols>
    <col min="1" max="1" width="25" customWidth="1"/>
    <col min="2" max="2" width="65" customWidth="1"/>
    <col min="3" max="3" width="26" customWidth="1"/>
    <col min="4" max="4" width="51" customWidth="1"/>
    <col min="5" max="5" width="21" customWidth="1"/>
    <col min="6" max="6" width="25" customWidth="1"/>
    <col min="7" max="7" width="34.296875" customWidth="1"/>
    <col min="8" max="8" width="28.09765625" customWidth="1"/>
    <col min="9" max="9" width="21.8984375" customWidth="1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 ht="63" customHeight="1">
      <c r="A2" s="64" t="s">
        <v>74</v>
      </c>
      <c r="B2" s="65"/>
      <c r="C2" s="65"/>
      <c r="D2" s="65"/>
      <c r="E2" s="65"/>
      <c r="F2" s="65"/>
      <c r="G2" s="65"/>
      <c r="H2" s="65"/>
    </row>
    <row r="3" spans="1:9" ht="28.8" customHeight="1">
      <c r="A3" s="65"/>
      <c r="B3" s="65"/>
      <c r="C3" s="65"/>
      <c r="D3" s="65"/>
      <c r="E3" s="65"/>
      <c r="F3" s="65"/>
      <c r="G3" s="65"/>
      <c r="H3" s="65"/>
    </row>
    <row r="4" spans="1:9" ht="28.8" customHeight="1">
      <c r="A4" s="27"/>
      <c r="B4" s="27"/>
      <c r="C4" s="27"/>
      <c r="D4" s="27"/>
      <c r="E4" s="27"/>
      <c r="F4" s="27"/>
      <c r="G4" s="27"/>
      <c r="H4" s="27"/>
    </row>
    <row r="5" spans="1:9" ht="17.399999999999999" customHeight="1">
      <c r="A5" s="27"/>
      <c r="B5" s="27"/>
      <c r="C5" s="27"/>
      <c r="D5" s="27"/>
      <c r="E5" s="27"/>
      <c r="F5" s="27"/>
      <c r="G5" s="27"/>
      <c r="H5" s="27"/>
    </row>
    <row r="6" spans="1:9" ht="17.399999999999999">
      <c r="A6" s="66" t="s">
        <v>133</v>
      </c>
      <c r="B6" s="66"/>
      <c r="C6" s="66"/>
      <c r="D6" s="66"/>
      <c r="E6" s="66"/>
      <c r="F6" s="66"/>
      <c r="G6" s="66"/>
      <c r="H6" s="66"/>
    </row>
    <row r="7" spans="1:9">
      <c r="B7" s="1"/>
      <c r="C7" s="1"/>
      <c r="D7" s="1"/>
      <c r="E7" s="1"/>
      <c r="F7" s="1"/>
      <c r="G7" s="1"/>
      <c r="H7" s="1"/>
    </row>
    <row r="8" spans="1:9" ht="42" customHeight="1">
      <c r="A8" s="2" t="s">
        <v>0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131</v>
      </c>
      <c r="H8" s="2" t="s">
        <v>192</v>
      </c>
      <c r="I8" s="2" t="s">
        <v>94</v>
      </c>
    </row>
    <row r="9" spans="1:9" ht="87" customHeight="1">
      <c r="A9" s="3" t="s">
        <v>197</v>
      </c>
      <c r="B9" s="3" t="s">
        <v>195</v>
      </c>
      <c r="C9" s="3" t="s">
        <v>10</v>
      </c>
      <c r="D9" s="10">
        <v>2</v>
      </c>
      <c r="E9" s="10">
        <f>COUNTIF(Pruebas!$H$7:$H$8,"Sí")</f>
        <v>2</v>
      </c>
      <c r="F9" s="5" t="str">
        <f>IF(E9=D9,"Sí",IF(OR(E9&gt;0,COUNTIF(Pruebas!$H$7:$H$8,"Parcialmente")&gt;0),"Parcialmente",IF(COUNTIF(Pruebas!$H$7:$H$8,"No")&gt;0,"No","Sin probar")))</f>
        <v>Sí</v>
      </c>
      <c r="G9" s="4"/>
      <c r="H9" s="29" t="s">
        <v>261</v>
      </c>
      <c r="I9" s="57" t="s">
        <v>130</v>
      </c>
    </row>
    <row r="10" spans="1:9" ht="100.05" customHeight="1">
      <c r="A10" s="3" t="s">
        <v>125</v>
      </c>
      <c r="B10" s="3" t="s">
        <v>80</v>
      </c>
      <c r="C10" s="3" t="s">
        <v>15</v>
      </c>
      <c r="D10" s="10">
        <v>5</v>
      </c>
      <c r="E10" s="10">
        <f>COUNTIF(Pruebas!$H$9:$H$13,"Sí")</f>
        <v>5</v>
      </c>
      <c r="F10" s="5" t="str">
        <f>IF(E10=D10,"Sí",IF(OR(E10&gt;0,COUNTIF(Pruebas!$H$9:$H$13,"Parcialmente")&gt;0),"Parcialmente",IF(COUNTIF(Pruebas!$H$9:$H$13,"No")&gt;0,"No","Sin probar")))</f>
        <v>Sí</v>
      </c>
      <c r="G10" s="4"/>
      <c r="H10" s="29" t="s">
        <v>270</v>
      </c>
      <c r="I10" s="29" t="s">
        <v>269</v>
      </c>
    </row>
    <row r="11" spans="1:9" ht="100.05" customHeight="1">
      <c r="A11" s="3" t="s">
        <v>22</v>
      </c>
      <c r="B11" s="3" t="s">
        <v>81</v>
      </c>
      <c r="C11" s="3" t="s">
        <v>15</v>
      </c>
      <c r="D11" s="10">
        <v>5</v>
      </c>
      <c r="E11" s="10">
        <f>COUNTIF(Pruebas!$H$14:$H$18,"Sí")</f>
        <v>5</v>
      </c>
      <c r="F11" s="5" t="str">
        <f>IF(E11=D11,"Sí",IF(OR(E11&gt;0,COUNTIF(Pruebas!$H$14:$H$18,"Parcialmente")&gt;0),"Parcialmente",IF(COUNTIF(Pruebas!$H$14:$H$18,"No")&gt;0,"No","Sin probar")))</f>
        <v>Sí</v>
      </c>
      <c r="G11" s="4"/>
      <c r="H11" s="29" t="s">
        <v>265</v>
      </c>
      <c r="I11" s="29" t="s">
        <v>264</v>
      </c>
    </row>
    <row r="12" spans="1:9" ht="100.05" customHeight="1">
      <c r="A12" s="3" t="s">
        <v>126</v>
      </c>
      <c r="B12" s="3" t="s">
        <v>82</v>
      </c>
      <c r="C12" s="3" t="s">
        <v>32</v>
      </c>
      <c r="D12" s="10">
        <v>5</v>
      </c>
      <c r="E12" s="10">
        <f>COUNTIF(Pruebas!$H$19:$H$23,"Sí")</f>
        <v>5</v>
      </c>
      <c r="F12" s="5" t="str">
        <f>IF(E12=D12,"Sí",IF(OR(E12&gt;0,COUNTIF(Pruebas!$H$19:$H$23,"Parcialmente")&gt;0),"Parcialmente",IF(COUNTIF(Pruebas!$H$19:$H$23,"No")&gt;0,"No","Sin probar")))</f>
        <v>Sí</v>
      </c>
      <c r="G12" s="4"/>
      <c r="H12" s="6"/>
      <c r="I12" s="29" t="s">
        <v>264</v>
      </c>
    </row>
    <row r="13" spans="1:9" ht="100.05" customHeight="1">
      <c r="A13" s="3" t="s">
        <v>168</v>
      </c>
      <c r="B13" s="3" t="s">
        <v>85</v>
      </c>
      <c r="C13" s="3" t="s">
        <v>40</v>
      </c>
      <c r="D13" s="10">
        <v>3</v>
      </c>
      <c r="E13" s="10">
        <f>COUNTIF(Pruebas!$H$24:$H$26,"Sí")</f>
        <v>3</v>
      </c>
      <c r="F13" s="5" t="str">
        <f>IF(E13=D13,"Sí",IF(OR(E13&gt;0,COUNTIF(Pruebas!$H$24:$H$26,"Parcialmente")&gt;0),"Parcialmente",IF(COUNTIF(Pruebas!$H$24:$H$26,"No")&gt;0,"No","Sin probar")))</f>
        <v>Sí</v>
      </c>
      <c r="G13" s="4"/>
      <c r="H13" s="6" t="s">
        <v>268</v>
      </c>
      <c r="I13" s="29" t="s">
        <v>264</v>
      </c>
    </row>
    <row r="14" spans="1:9" ht="100.05" customHeight="1">
      <c r="A14" s="3" t="s">
        <v>169</v>
      </c>
      <c r="B14" s="3" t="s">
        <v>86</v>
      </c>
      <c r="C14" s="3" t="s">
        <v>50</v>
      </c>
      <c r="D14" s="10">
        <v>5</v>
      </c>
      <c r="E14" s="10">
        <f>COUNTIF(Pruebas!$H$27:$H$31,"Sí")</f>
        <v>5</v>
      </c>
      <c r="F14" s="5" t="str">
        <f>IF(E14=D14,"Sí",IF(OR(E14&gt;0,COUNTIF(Pruebas!$H$27:$H$31,"Parcialmente")&gt;0),"Parcialmente",IF(COUNTIF(Pruebas!$H$27:$H$31,"No")&gt;0,"No","Sin probar")))</f>
        <v>Sí</v>
      </c>
      <c r="G14" s="4"/>
      <c r="H14" s="4"/>
      <c r="I14" s="63" t="s">
        <v>264</v>
      </c>
    </row>
    <row r="15" spans="1:9" ht="100.05" customHeight="1">
      <c r="A15" s="3" t="s">
        <v>170</v>
      </c>
      <c r="B15" s="3" t="s">
        <v>83</v>
      </c>
      <c r="C15" s="3" t="s">
        <v>84</v>
      </c>
      <c r="D15" s="10">
        <v>3</v>
      </c>
      <c r="E15" s="10">
        <f>COUNTIF(Pruebas!$H$32:$H$34,"Sí")</f>
        <v>3</v>
      </c>
      <c r="F15" s="5" t="str">
        <f>IF(E15=D15,"Sí",IF(OR(E15&gt;0,COUNTIF(Pruebas!$H$32:$H$34,"Parcialmente")&gt;0),"Parcialmente",IF(COUNTIF(Pruebas!$H$32:$H$34,"No")&gt;0,"No","Sin probar")))</f>
        <v>Sí</v>
      </c>
      <c r="G15" s="4"/>
      <c r="H15" s="6"/>
      <c r="I15" s="29" t="s">
        <v>269</v>
      </c>
    </row>
    <row r="16" spans="1:9" ht="100.05" customHeight="1">
      <c r="A16" s="3" t="s">
        <v>127</v>
      </c>
      <c r="B16" s="3" t="s">
        <v>87</v>
      </c>
      <c r="C16" s="3" t="s">
        <v>60</v>
      </c>
      <c r="D16" s="10">
        <v>3</v>
      </c>
      <c r="E16" s="10">
        <f>COUNTIF(Pruebas!$H$35:$H$37,"Sí")</f>
        <v>3</v>
      </c>
      <c r="F16" s="5" t="str">
        <f>IF(E16=D16,"Sí",IF(OR(E16&gt;0,COUNTIF(Pruebas!$H$35:$H$37,"Parcialmente")&gt;0),"Parcialmente",IF(COUNTIF(Pruebas!$H$35:$H$37,"No")&gt;0,"No","Sin probar")))</f>
        <v>Sí</v>
      </c>
      <c r="G16" s="4"/>
      <c r="H16" s="6"/>
      <c r="I16" s="29" t="s">
        <v>269</v>
      </c>
    </row>
    <row r="17" spans="1:9" ht="100.05" customHeight="1">
      <c r="A17" s="3" t="s">
        <v>128</v>
      </c>
      <c r="B17" s="3" t="s">
        <v>88</v>
      </c>
      <c r="C17" s="3" t="s">
        <v>65</v>
      </c>
      <c r="D17" s="10">
        <v>1</v>
      </c>
      <c r="E17" s="10">
        <f>COUNTIF(Pruebas!$H$38:$H$38,"Sí")</f>
        <v>1</v>
      </c>
      <c r="F17" s="5" t="str">
        <f>IF(E17=D17,"Sí",IF(OR(E17&gt;0,COUNTIF(Pruebas!$H$38:$H$38,"Parcialmente")&gt;0),"Parcialmente",IF(COUNTIF(Pruebas!$H$38:$H$38,"No")&gt;0,"No","Sin probar")))</f>
        <v>Sí</v>
      </c>
      <c r="G17" s="4"/>
      <c r="H17" s="29" t="s">
        <v>263</v>
      </c>
      <c r="I17" s="58">
        <v>46275</v>
      </c>
    </row>
    <row r="18" spans="1:9" ht="100.05" customHeight="1">
      <c r="A18" s="3" t="s">
        <v>202</v>
      </c>
      <c r="B18" s="3" t="s">
        <v>203</v>
      </c>
      <c r="C18" s="3" t="s">
        <v>204</v>
      </c>
      <c r="D18" s="10">
        <v>3</v>
      </c>
      <c r="E18" s="10">
        <f>COUNTIF(Pruebas!$H$39:$H$41,"Sí")</f>
        <v>2</v>
      </c>
      <c r="F18" s="5" t="str">
        <f>IF(E18=D18,"Sí",IF(OR(E18&gt;0,COUNTIF(Pruebas!$H$39:$H$41,"Parcialmente")&gt;0),"Parcialmente",IF(COUNTIF(Pruebas!$H$39:$H$41,"No")&gt;0,"No","Sin probar")))</f>
        <v>Parcialmente</v>
      </c>
      <c r="G18" s="4"/>
      <c r="H18" s="32"/>
      <c r="I18" s="32"/>
    </row>
    <row r="19" spans="1:9" ht="100.05" customHeight="1">
      <c r="A19" s="3" t="s">
        <v>219</v>
      </c>
      <c r="B19" s="3" t="s">
        <v>196</v>
      </c>
      <c r="C19" s="3" t="s">
        <v>200</v>
      </c>
      <c r="D19" s="10">
        <v>3</v>
      </c>
      <c r="E19" s="10">
        <f>COUNTIF(Pruebas!$H$42:$H$44,"Sí")</f>
        <v>0</v>
      </c>
      <c r="F19" s="5" t="str">
        <f>IF(E19=D19,"Sí",IF(OR(E19&gt;0,COUNTIF(Pruebas!$H$42:$H$44,"Parcialmente")&gt;0),"Parcialmente",IF(COUNTIF(Pruebas!$H$42:$H$44,"No")&gt;0,"No","Sin probar")))</f>
        <v>Sin probar</v>
      </c>
      <c r="G19" s="4"/>
      <c r="H19" s="6"/>
      <c r="I19" s="6"/>
    </row>
    <row r="20" spans="1:9">
      <c r="A20" s="1"/>
      <c r="B20" s="1"/>
      <c r="C20" s="1"/>
      <c r="D20" s="1"/>
      <c r="E20" s="1"/>
      <c r="F20" s="1"/>
      <c r="G20" s="1"/>
      <c r="H20" s="1"/>
    </row>
    <row r="21" spans="1:9">
      <c r="A21" s="1"/>
      <c r="B21" s="1"/>
      <c r="C21" s="1"/>
      <c r="D21" s="1"/>
      <c r="E21" s="1"/>
      <c r="F21" s="1"/>
      <c r="G21" s="1"/>
      <c r="H21" s="1"/>
    </row>
    <row r="22" spans="1:9">
      <c r="A22" s="1"/>
      <c r="B22" s="1"/>
      <c r="C22" s="1"/>
      <c r="D22" s="1"/>
      <c r="E22" s="1"/>
      <c r="F22" s="1"/>
      <c r="G22" s="1"/>
      <c r="H22" s="1"/>
    </row>
    <row r="23" spans="1:9">
      <c r="A23" s="1"/>
      <c r="B23" s="1"/>
      <c r="C23" s="1"/>
      <c r="D23" s="1"/>
      <c r="E23" s="1"/>
      <c r="F23" s="1"/>
      <c r="G23" s="1"/>
      <c r="H23" s="1"/>
    </row>
    <row r="24" spans="1:9" ht="17.399999999999999">
      <c r="A24" s="66" t="s">
        <v>89</v>
      </c>
      <c r="B24" s="66"/>
      <c r="C24" s="66"/>
      <c r="D24" s="66"/>
      <c r="E24" s="66"/>
      <c r="F24" s="66"/>
      <c r="G24" s="66"/>
      <c r="H24" s="66"/>
    </row>
    <row r="25" spans="1:9">
      <c r="A25" s="1"/>
      <c r="B25" s="1"/>
      <c r="C25" s="1"/>
      <c r="D25" s="1"/>
      <c r="E25" s="1"/>
      <c r="F25" s="1"/>
      <c r="G25" s="1"/>
      <c r="H25" s="1"/>
    </row>
    <row r="26" spans="1:9" ht="42" customHeight="1">
      <c r="A26" s="2" t="s">
        <v>1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131</v>
      </c>
      <c r="G26" s="2" t="s">
        <v>192</v>
      </c>
      <c r="H26" s="2" t="s">
        <v>94</v>
      </c>
    </row>
    <row r="27" spans="1:9" ht="130.05000000000001" customHeight="1">
      <c r="A27" s="3" t="s">
        <v>95</v>
      </c>
      <c r="B27" s="3" t="s">
        <v>96</v>
      </c>
      <c r="C27" s="3" t="s">
        <v>97</v>
      </c>
      <c r="D27" s="3" t="s">
        <v>98</v>
      </c>
      <c r="E27" s="5" t="str">
        <f>$F$9</f>
        <v>Sí</v>
      </c>
      <c r="F27" s="4" t="s">
        <v>122</v>
      </c>
      <c r="G27" s="63" t="s">
        <v>262</v>
      </c>
      <c r="H27" s="57" t="s">
        <v>130</v>
      </c>
    </row>
    <row r="28" spans="1:9" ht="130.05000000000001" customHeight="1">
      <c r="A28" s="3" t="s">
        <v>99</v>
      </c>
      <c r="B28" s="3" t="s">
        <v>100</v>
      </c>
      <c r="C28" s="3" t="s">
        <v>185</v>
      </c>
      <c r="D28" s="3" t="s">
        <v>101</v>
      </c>
      <c r="E28" s="5" t="str">
        <f>IF(AND($F$10="Sí",$F$11="Sí",$F$15="Sí"),"Sí",IF(OR($F$10="Sí",$F$10="Parcialmente",$F$11="Sí",$F$11="Parcialmente",$F$15="Sí",$F$15="Parcialmente"),"Parcialmente",IF(OR($F$10="No",$F$11="No",$F$15="No"),"No","Sin probar")))</f>
        <v>Sí</v>
      </c>
      <c r="F28" s="4"/>
      <c r="G28" s="4"/>
      <c r="H28" s="29" t="s">
        <v>269</v>
      </c>
    </row>
    <row r="29" spans="1:9" ht="130.05000000000001" customHeight="1">
      <c r="A29" s="3" t="s">
        <v>102</v>
      </c>
      <c r="B29" s="3" t="s">
        <v>103</v>
      </c>
      <c r="C29" s="3" t="s">
        <v>186</v>
      </c>
      <c r="D29" s="3" t="s">
        <v>104</v>
      </c>
      <c r="E29" s="5" t="str">
        <f>IF(AND($F$12="Sí",$F$15="Sí"),"Sí",IF(OR($F$12="Sí",$F$12="Parcialmente",$F$15="Sí",$F$15="Parcialmente"),"Parcialmente",IF(OR($F$12="No",$F$15="No"),"No","Sin probar")))</f>
        <v>Sí</v>
      </c>
      <c r="F29" s="4"/>
      <c r="G29" s="4"/>
      <c r="H29" s="29" t="s">
        <v>269</v>
      </c>
    </row>
    <row r="30" spans="1:9" ht="130.05000000000001" customHeight="1">
      <c r="A30" s="3" t="s">
        <v>105</v>
      </c>
      <c r="B30" s="3" t="s">
        <v>106</v>
      </c>
      <c r="C30" s="3" t="s">
        <v>188</v>
      </c>
      <c r="D30" s="3" t="s">
        <v>107</v>
      </c>
      <c r="E30" s="5" t="str">
        <f>IF(AND($F$13="Sí",$F$15="Sí"),"Sí",IF(OR($F$13="Sí",$F$13="Parcialmente",$F$15="Sí",$F$15="Parcialmente"),"Parcialmente",IF(OR($F$13="No",$F$15="No"),"No","Sin probar")))</f>
        <v>Sí</v>
      </c>
      <c r="F30" s="4"/>
      <c r="G30" s="4"/>
      <c r="H30" s="29" t="s">
        <v>269</v>
      </c>
    </row>
    <row r="31" spans="1:9" ht="130.05000000000001" customHeight="1">
      <c r="A31" s="3" t="s">
        <v>108</v>
      </c>
      <c r="B31" s="3" t="s">
        <v>109</v>
      </c>
      <c r="C31" s="3" t="s">
        <v>187</v>
      </c>
      <c r="D31" s="3" t="s">
        <v>110</v>
      </c>
      <c r="E31" s="5" t="str">
        <f>IF(AND($F$14="Sí",$F$15="Sí"),"Sí",IF(OR($F$14="Sí",$F$14="Parcialmente",$F$15="Sí",$F$15="Parcialmente"),"Parcialmente",IF(OR($F$14="No",$F$15="No"),"No","Sin probar")))</f>
        <v>Sí</v>
      </c>
      <c r="F31" s="4"/>
      <c r="G31" s="4"/>
      <c r="H31" s="29" t="s">
        <v>269</v>
      </c>
    </row>
    <row r="32" spans="1:9" ht="130.05000000000001" customHeight="1">
      <c r="A32" s="3" t="s">
        <v>111</v>
      </c>
      <c r="B32" s="3" t="s">
        <v>112</v>
      </c>
      <c r="C32" s="3" t="s">
        <v>113</v>
      </c>
      <c r="D32" s="3" t="s">
        <v>114</v>
      </c>
      <c r="E32" s="5" t="str">
        <f>$F$16</f>
        <v>Sí</v>
      </c>
      <c r="F32" s="4"/>
      <c r="G32" s="4"/>
      <c r="H32" s="29" t="s">
        <v>269</v>
      </c>
    </row>
    <row r="33" spans="1:8" ht="130.05000000000001" customHeight="1">
      <c r="A33" s="3" t="s">
        <v>115</v>
      </c>
      <c r="B33" s="3" t="s">
        <v>116</v>
      </c>
      <c r="C33" s="3" t="s">
        <v>117</v>
      </c>
      <c r="D33" s="3" t="s">
        <v>118</v>
      </c>
      <c r="E33" s="5" t="str">
        <f>$F$17</f>
        <v>Sí</v>
      </c>
      <c r="F33" s="4"/>
      <c r="G33" s="63" t="s">
        <v>263</v>
      </c>
      <c r="H33" s="57">
        <v>46275</v>
      </c>
    </row>
    <row r="34" spans="1:8" ht="130.05000000000001" customHeight="1">
      <c r="A34" s="3" t="s">
        <v>214</v>
      </c>
      <c r="B34" s="3" t="s">
        <v>221</v>
      </c>
      <c r="C34" s="3" t="s">
        <v>222</v>
      </c>
      <c r="D34" s="3" t="s">
        <v>220</v>
      </c>
      <c r="E34" s="5" t="str">
        <f>$F$18</f>
        <v>Parcialmente</v>
      </c>
      <c r="F34" s="4"/>
      <c r="G34" s="4"/>
      <c r="H34" s="6"/>
    </row>
    <row r="35" spans="1:8" ht="130.05000000000001" customHeight="1">
      <c r="A35" s="3" t="s">
        <v>201</v>
      </c>
      <c r="B35" s="3" t="s">
        <v>119</v>
      </c>
      <c r="C35" s="3" t="s">
        <v>224</v>
      </c>
      <c r="D35" s="3" t="s">
        <v>120</v>
      </c>
      <c r="E35" s="5" t="str">
        <f>$F$19</f>
        <v>Sin probar</v>
      </c>
      <c r="F35" s="4"/>
      <c r="G35" s="4"/>
      <c r="H35" s="6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 ht="25.95" customHeight="1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 ht="25.9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5">
    <mergeCell ref="A37:H37"/>
    <mergeCell ref="A39:H39"/>
    <mergeCell ref="A2:H3"/>
    <mergeCell ref="A6:H6"/>
    <mergeCell ref="A24:H24"/>
  </mergeCells>
  <conditionalFormatting sqref="F9:F19 E27:E35">
    <cfRule type="cellIs" dxfId="87" priority="5" operator="equal">
      <formula>"Sí"</formula>
    </cfRule>
    <cfRule type="cellIs" dxfId="86" priority="6" operator="equal">
      <formula>"Parcialmente"</formula>
    </cfRule>
    <cfRule type="cellIs" dxfId="85" priority="7" operator="equal">
      <formula>"No"</formula>
    </cfRule>
    <cfRule type="cellIs" dxfId="84" priority="8" operator="equal">
      <formula>"Sin probar"</formula>
    </cfRule>
  </conditionalFormatting>
  <dataValidations count="1">
    <dataValidation type="list" sqref="F9:F19 E27:E35" xr:uid="{00000000-0002-0000-0100-000000000000}">
      <formula1>"Sí,Parcialmente,No,Sin probar"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65A"/>
  </sheetPr>
  <dimension ref="A1:AS74"/>
  <sheetViews>
    <sheetView showGridLines="0" topLeftCell="F17" zoomScale="67" zoomScaleNormal="56" workbookViewId="0">
      <selection activeCell="AP40" sqref="AP40:AS43"/>
    </sheetView>
  </sheetViews>
  <sheetFormatPr baseColWidth="10" defaultColWidth="8.796875" defaultRowHeight="13.8"/>
  <cols>
    <col min="1" max="1" width="2.69921875" customWidth="1"/>
    <col min="2" max="15" width="5.59765625" customWidth="1"/>
    <col min="16" max="16" width="22.19921875" customWidth="1"/>
    <col min="17" max="45" width="5.59765625" customWidth="1"/>
  </cols>
  <sheetData>
    <row r="1" spans="1:23" ht="22.0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ht="31.95" customHeight="1">
      <c r="A2" s="52"/>
      <c r="B2" s="84" t="s">
        <v>225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52"/>
    </row>
    <row r="3" spans="1:23" ht="22.05" customHeight="1">
      <c r="A3" s="52"/>
      <c r="B3" s="85" t="s">
        <v>226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52"/>
    </row>
    <row r="4" spans="1:23" ht="22.0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ht="34.049999999999997" customHeight="1">
      <c r="A5" s="52"/>
      <c r="B5" s="86" t="s">
        <v>1</v>
      </c>
      <c r="C5" s="86"/>
      <c r="D5" s="86"/>
      <c r="E5" s="86"/>
      <c r="F5" s="86"/>
      <c r="G5" s="86" t="s">
        <v>227</v>
      </c>
      <c r="H5" s="86"/>
      <c r="I5" s="86"/>
      <c r="J5" s="86"/>
      <c r="K5" s="86" t="s">
        <v>228</v>
      </c>
      <c r="L5" s="86"/>
      <c r="M5" s="86"/>
      <c r="N5" s="86"/>
      <c r="O5" s="52"/>
      <c r="P5" s="53" t="s">
        <v>229</v>
      </c>
      <c r="Q5" s="86" t="s">
        <v>230</v>
      </c>
      <c r="R5" s="86"/>
      <c r="S5" s="86"/>
      <c r="T5" s="86"/>
      <c r="U5" s="86"/>
      <c r="V5" s="86"/>
      <c r="W5" s="52"/>
    </row>
    <row r="6" spans="1:23" ht="31.95" customHeight="1">
      <c r="A6" s="52"/>
      <c r="B6" s="87" t="str">
        <f>'Objetivos y hitos'!A27</f>
        <v>H0  Preparación</v>
      </c>
      <c r="C6" s="87"/>
      <c r="D6" s="87"/>
      <c r="E6" s="87"/>
      <c r="F6" s="87"/>
      <c r="G6" s="88" t="s">
        <v>231</v>
      </c>
      <c r="H6" s="88"/>
      <c r="I6" s="88"/>
      <c r="J6" s="88"/>
      <c r="K6" s="89">
        <f>IF('Objetivos y hitos'!$F$9="Sí",1,0)</f>
        <v>1</v>
      </c>
      <c r="L6" s="88"/>
      <c r="M6" s="88"/>
      <c r="N6" s="88"/>
      <c r="O6" s="52"/>
      <c r="P6" s="54">
        <f>AVERAGE('Objetivos y hitos'!$E$9/'Objetivos y hitos'!$D$9)</f>
        <v>1</v>
      </c>
      <c r="Q6" s="90" t="str">
        <f>'Objetivos y hitos'!E27</f>
        <v>Sí</v>
      </c>
      <c r="R6" s="90"/>
      <c r="S6" s="90"/>
      <c r="T6" s="90"/>
      <c r="U6" s="90"/>
      <c r="V6" s="90"/>
      <c r="W6" s="52"/>
    </row>
    <row r="7" spans="1:23" ht="31.95" customHeight="1">
      <c r="A7" s="52"/>
      <c r="B7" s="91" t="str">
        <f>'Objetivos y hitos'!A28</f>
        <v>H1  Local</v>
      </c>
      <c r="C7" s="91"/>
      <c r="D7" s="91"/>
      <c r="E7" s="91"/>
      <c r="F7" s="91"/>
      <c r="G7" s="90" t="s">
        <v>232</v>
      </c>
      <c r="H7" s="90"/>
      <c r="I7" s="90"/>
      <c r="J7" s="90"/>
      <c r="K7" s="92">
        <f>IF('Objetivos y hitos'!$F$10="Sí",1,0)+IF('Objetivos y hitos'!$F$11="Sí",1,0)+IF('Objetivos y hitos'!$F$15="Sí",1,0)</f>
        <v>3</v>
      </c>
      <c r="L7" s="90"/>
      <c r="M7" s="90"/>
      <c r="N7" s="90"/>
      <c r="O7" s="52"/>
      <c r="P7" s="54">
        <f>AVERAGE('Objetivos y hitos'!$E$10/'Objetivos y hitos'!$D$10,'Objetivos y hitos'!$E$11/'Objetivos y hitos'!$D$11,'Objetivos y hitos'!$E$15/'Objetivos y hitos'!$D$15)</f>
        <v>1</v>
      </c>
      <c r="Q7" s="90" t="str">
        <f>'Objetivos y hitos'!E28</f>
        <v>Sí</v>
      </c>
      <c r="R7" s="90"/>
      <c r="S7" s="90"/>
      <c r="T7" s="90"/>
      <c r="U7" s="90"/>
      <c r="V7" s="90"/>
      <c r="W7" s="52"/>
    </row>
    <row r="8" spans="1:23" ht="31.95" customHeight="1">
      <c r="A8" s="52"/>
      <c r="B8" s="87" t="str">
        <f>'Objetivos y hitos'!A29</f>
        <v>H2  Red actual</v>
      </c>
      <c r="C8" s="87"/>
      <c r="D8" s="87"/>
      <c r="E8" s="87"/>
      <c r="F8" s="87"/>
      <c r="G8" s="88" t="s">
        <v>233</v>
      </c>
      <c r="H8" s="88"/>
      <c r="I8" s="88"/>
      <c r="J8" s="88"/>
      <c r="K8" s="93">
        <f>IF('Objetivos y hitos'!$F$12="Sí",1,0)+IF('Objetivos y hitos'!$F$15="Sí",1,0)</f>
        <v>2</v>
      </c>
      <c r="L8" s="88"/>
      <c r="M8" s="88"/>
      <c r="N8" s="88"/>
      <c r="O8" s="52"/>
      <c r="P8" s="54">
        <f>AVERAGE('Objetivos y hitos'!$E$12/'Objetivos y hitos'!$D$12,'Objetivos y hitos'!$E$15/'Objetivos y hitos'!$D$15)</f>
        <v>1</v>
      </c>
      <c r="Q8" s="90" t="str">
        <f>'Objetivos y hitos'!E29</f>
        <v>Sí</v>
      </c>
      <c r="R8" s="90"/>
      <c r="S8" s="90"/>
      <c r="T8" s="90"/>
      <c r="U8" s="90"/>
      <c r="V8" s="90"/>
      <c r="W8" s="52"/>
    </row>
    <row r="9" spans="1:23" ht="31.95" customHeight="1">
      <c r="A9" s="52"/>
      <c r="B9" s="91" t="str">
        <f>'Objetivos y hitos'!A30</f>
        <v>H3  Otros ID</v>
      </c>
      <c r="C9" s="91"/>
      <c r="D9" s="91"/>
      <c r="E9" s="91"/>
      <c r="F9" s="91"/>
      <c r="G9" s="90" t="s">
        <v>234</v>
      </c>
      <c r="H9" s="90"/>
      <c r="I9" s="90"/>
      <c r="J9" s="90"/>
      <c r="K9" s="94">
        <f>IF('Objetivos y hitos'!$F$13="Sí",1,0)+IF('Objetivos y hitos'!$F$15="Sí",1,0)</f>
        <v>2</v>
      </c>
      <c r="L9" s="90"/>
      <c r="M9" s="90"/>
      <c r="N9" s="90"/>
      <c r="O9" s="52"/>
      <c r="P9" s="54">
        <f>AVERAGE('Objetivos y hitos'!$E$13/'Objetivos y hitos'!$D$13,'Objetivos y hitos'!$E$15/'Objetivos y hitos'!$D$15)</f>
        <v>1</v>
      </c>
      <c r="Q9" s="90" t="str">
        <f>'Objetivos y hitos'!E30</f>
        <v>Sí</v>
      </c>
      <c r="R9" s="90"/>
      <c r="S9" s="90"/>
      <c r="T9" s="90"/>
      <c r="U9" s="90"/>
      <c r="V9" s="90"/>
      <c r="W9" s="52"/>
    </row>
    <row r="10" spans="1:23" ht="31.95" customHeight="1">
      <c r="A10" s="52"/>
      <c r="B10" s="87" t="str">
        <f>'Objetivos y hitos'!A31</f>
        <v>H4  Remoto</v>
      </c>
      <c r="C10" s="87"/>
      <c r="D10" s="87"/>
      <c r="E10" s="87"/>
      <c r="F10" s="87"/>
      <c r="G10" s="88" t="s">
        <v>235</v>
      </c>
      <c r="H10" s="88"/>
      <c r="I10" s="88"/>
      <c r="J10" s="88"/>
      <c r="K10" s="93">
        <f>IF('Objetivos y hitos'!$F$14="Sí",1,0)+IF('Objetivos y hitos'!$F$15="Sí",1,0)</f>
        <v>2</v>
      </c>
      <c r="L10" s="88"/>
      <c r="M10" s="88"/>
      <c r="N10" s="88"/>
      <c r="O10" s="52"/>
      <c r="P10" s="54">
        <f>AVERAGE('Objetivos y hitos'!$E$14/'Objetivos y hitos'!$D$14,'Objetivos y hitos'!$E$15/'Objetivos y hitos'!$D$15)</f>
        <v>1</v>
      </c>
      <c r="Q10" s="90" t="str">
        <f>'Objetivos y hitos'!E31</f>
        <v>Sí</v>
      </c>
      <c r="R10" s="90"/>
      <c r="S10" s="90"/>
      <c r="T10" s="90"/>
      <c r="U10" s="90"/>
      <c r="V10" s="90"/>
      <c r="W10" s="52"/>
    </row>
    <row r="11" spans="1:23" ht="31.95" customHeight="1">
      <c r="A11" s="52"/>
      <c r="B11" s="91" t="str">
        <f>'Objetivos y hitos'!A32</f>
        <v>H5  Registro</v>
      </c>
      <c r="C11" s="91"/>
      <c r="D11" s="91"/>
      <c r="E11" s="91"/>
      <c r="F11" s="91"/>
      <c r="G11" s="90" t="s">
        <v>113</v>
      </c>
      <c r="H11" s="90"/>
      <c r="I11" s="90"/>
      <c r="J11" s="90"/>
      <c r="K11" s="95">
        <f>IF('Objetivos y hitos'!$F$16="Sí",1,0)</f>
        <v>1</v>
      </c>
      <c r="L11" s="90"/>
      <c r="M11" s="90"/>
      <c r="N11" s="90"/>
      <c r="O11" s="52"/>
      <c r="P11" s="54">
        <f>AVERAGE('Objetivos y hitos'!$E$16/'Objetivos y hitos'!$D$16)</f>
        <v>1</v>
      </c>
      <c r="Q11" s="90" t="str">
        <f>'Objetivos y hitos'!E32</f>
        <v>Sí</v>
      </c>
      <c r="R11" s="90"/>
      <c r="S11" s="90"/>
      <c r="T11" s="90"/>
      <c r="U11" s="90"/>
      <c r="V11" s="90"/>
      <c r="W11" s="52"/>
    </row>
    <row r="12" spans="1:23" ht="31.95" customHeight="1">
      <c r="A12" s="52"/>
      <c r="B12" s="87" t="str">
        <f>'Objetivos y hitos'!A33</f>
        <v>H6  Sensores</v>
      </c>
      <c r="C12" s="87"/>
      <c r="D12" s="87"/>
      <c r="E12" s="87"/>
      <c r="F12" s="87"/>
      <c r="G12" s="88" t="s">
        <v>117</v>
      </c>
      <c r="H12" s="88"/>
      <c r="I12" s="88"/>
      <c r="J12" s="88"/>
      <c r="K12" s="89">
        <f>IF('Objetivos y hitos'!$F$17="Sí",1,0)</f>
        <v>1</v>
      </c>
      <c r="L12" s="88"/>
      <c r="M12" s="88"/>
      <c r="N12" s="88"/>
      <c r="O12" s="52"/>
      <c r="P12" s="54">
        <f>AVERAGE('Objetivos y hitos'!$E$17/'Objetivos y hitos'!$D$17)</f>
        <v>1</v>
      </c>
      <c r="Q12" s="90" t="str">
        <f>'Objetivos y hitos'!E33</f>
        <v>Sí</v>
      </c>
      <c r="R12" s="90"/>
      <c r="S12" s="90"/>
      <c r="T12" s="90"/>
      <c r="U12" s="90"/>
      <c r="V12" s="90"/>
      <c r="W12" s="52"/>
    </row>
    <row r="13" spans="1:23" ht="31.95" customHeight="1">
      <c r="A13" s="52"/>
      <c r="B13" s="91" t="str">
        <f>'Objetivos y hitos'!A34</f>
        <v>H7 Interfaz de usuario</v>
      </c>
      <c r="C13" s="91"/>
      <c r="D13" s="91"/>
      <c r="E13" s="91"/>
      <c r="F13" s="91"/>
      <c r="G13" s="90" t="s">
        <v>222</v>
      </c>
      <c r="H13" s="90"/>
      <c r="I13" s="90"/>
      <c r="J13" s="90"/>
      <c r="K13" s="95">
        <f>IF('Objetivos y hitos'!$F$18="Sí",1,0)</f>
        <v>0</v>
      </c>
      <c r="L13" s="90"/>
      <c r="M13" s="90"/>
      <c r="N13" s="90"/>
      <c r="O13" s="52"/>
      <c r="P13" s="54">
        <f>AVERAGE('Objetivos y hitos'!$E$18/'Objetivos y hitos'!$D$18)</f>
        <v>0.66666666666666663</v>
      </c>
      <c r="Q13" s="90" t="str">
        <f>'Objetivos y hitos'!E34</f>
        <v>Parcialmente</v>
      </c>
      <c r="R13" s="90"/>
      <c r="S13" s="90"/>
      <c r="T13" s="90"/>
      <c r="U13" s="90"/>
      <c r="V13" s="90"/>
      <c r="W13" s="52"/>
    </row>
    <row r="14" spans="1:23" ht="31.95" customHeight="1">
      <c r="A14" s="52"/>
      <c r="B14" s="87" t="str">
        <f>'Objetivos y hitos'!A35</f>
        <v>H8  Entrega</v>
      </c>
      <c r="C14" s="87"/>
      <c r="D14" s="87"/>
      <c r="E14" s="87"/>
      <c r="F14" s="87"/>
      <c r="G14" s="88" t="s">
        <v>224</v>
      </c>
      <c r="H14" s="88"/>
      <c r="I14" s="88"/>
      <c r="J14" s="88"/>
      <c r="K14" s="89">
        <f>IF('Objetivos y hitos'!$F$19="Sí",1,0)</f>
        <v>0</v>
      </c>
      <c r="L14" s="88"/>
      <c r="M14" s="88"/>
      <c r="N14" s="88"/>
      <c r="O14" s="52"/>
      <c r="P14" s="54">
        <f>AVERAGE('Objetivos y hitos'!$E$19/'Objetivos y hitos'!$D$19)</f>
        <v>0</v>
      </c>
      <c r="Q14" s="90" t="str">
        <f>'Objetivos y hitos'!E35</f>
        <v>Sin probar</v>
      </c>
      <c r="R14" s="90"/>
      <c r="S14" s="90"/>
      <c r="T14" s="90"/>
      <c r="U14" s="90"/>
      <c r="V14" s="90"/>
      <c r="W14" s="52"/>
    </row>
    <row r="15" spans="1:23" ht="22.0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1:23" ht="22.0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45" ht="25.95" customHeight="1">
      <c r="A17" s="52"/>
      <c r="B17" s="96" t="s">
        <v>129</v>
      </c>
      <c r="C17" s="96"/>
      <c r="D17" s="96"/>
      <c r="E17" s="96"/>
      <c r="F17" s="96"/>
      <c r="G17" s="97" t="s">
        <v>223</v>
      </c>
      <c r="H17" s="97"/>
      <c r="I17" s="97"/>
      <c r="J17" s="97"/>
      <c r="K17" s="98" t="s">
        <v>189</v>
      </c>
      <c r="L17" s="98"/>
      <c r="M17" s="98"/>
      <c r="N17" s="98"/>
      <c r="O17" s="52"/>
      <c r="P17" s="99" t="s">
        <v>121</v>
      </c>
      <c r="Q17" s="99"/>
      <c r="R17" s="99"/>
      <c r="S17" s="99"/>
      <c r="T17" s="52"/>
      <c r="U17" s="52"/>
      <c r="V17" s="52"/>
      <c r="W17" s="52"/>
    </row>
    <row r="18" spans="1:45" ht="22.0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</row>
    <row r="19" spans="1:45" ht="21" customHeight="1">
      <c r="A19" s="55"/>
      <c r="B19" s="100" t="s">
        <v>236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</row>
    <row r="20" spans="1:45" ht="21" customHeight="1">
      <c r="A20" s="55"/>
      <c r="B20" s="102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</row>
    <row r="21" spans="1:45" ht="21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</row>
    <row r="22" spans="1:45" ht="21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112"/>
      <c r="M22" s="101"/>
      <c r="N22" s="101"/>
      <c r="O22" s="101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</row>
    <row r="23" spans="1:45" ht="21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</row>
    <row r="24" spans="1:45" ht="21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103" t="str">
        <f>'Objetivos y hitos'!$A$15&amp;CHAR(10)&amp;'Objetivos y hitos'!$F$15&amp;CHAR(10)&amp;TEXT('Objetivos y hitos'!$E$15/'Objetivos y hitos'!$D$15,"0%")&amp;" · "&amp;'Objetivos y hitos'!$E$15&amp;" de "&amp;'Objetivos y hitos'!$D$15&amp;" pruebas con Sí"</f>
        <v>O6 · Recuperación del Xbee local
Sí
100% · 3 de 3 pruebas con Sí</v>
      </c>
      <c r="M24" s="104"/>
      <c r="N24" s="104"/>
      <c r="O24" s="10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</row>
    <row r="25" spans="1:45" ht="21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106"/>
      <c r="M25" s="107"/>
      <c r="N25" s="107"/>
      <c r="O25" s="108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</row>
    <row r="26" spans="1:45" ht="21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106"/>
      <c r="M26" s="107"/>
      <c r="N26" s="107"/>
      <c r="O26" s="108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</row>
    <row r="27" spans="1:45" ht="21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109"/>
      <c r="M27" s="110"/>
      <c r="N27" s="110"/>
      <c r="O27" s="111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237</v>
      </c>
      <c r="AN27" s="55"/>
      <c r="AO27" s="55"/>
      <c r="AP27" s="55"/>
      <c r="AQ27" s="55"/>
      <c r="AR27" s="55"/>
      <c r="AS27" s="55"/>
    </row>
    <row r="28" spans="1:45" ht="21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</row>
    <row r="29" spans="1:45" ht="21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</row>
    <row r="30" spans="1:45" ht="21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</row>
    <row r="31" spans="1:45" ht="21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</row>
    <row r="32" spans="1:45" ht="21" customHeight="1">
      <c r="A32" s="55"/>
      <c r="B32" s="103" t="str">
        <f>'Objetivos y hitos'!$A$27&amp;CHAR(10)&amp;'Objetivos y hitos'!$E$27&amp;CHAR(10)&amp;TEXT($P$6,"0%")&amp;" de avance"</f>
        <v>H0  Preparación
Sí
100% de avance</v>
      </c>
      <c r="C32" s="104"/>
      <c r="D32" s="104"/>
      <c r="E32" s="105"/>
      <c r="F32" s="55"/>
      <c r="G32" s="103" t="str">
        <f>'Objetivos y hitos'!$A$28&amp;CHAR(10)&amp;'Objetivos y hitos'!$E$28&amp;CHAR(10)&amp;TEXT($P$7,"0%")&amp;" de avance"</f>
        <v>H1  Local
Sí
100% de avance</v>
      </c>
      <c r="H32" s="104"/>
      <c r="I32" s="104"/>
      <c r="J32" s="105"/>
      <c r="K32" s="55"/>
      <c r="L32" s="103" t="str">
        <f>'Objetivos y hitos'!$A$29&amp;CHAR(10)&amp;'Objetivos y hitos'!$E$29&amp;CHAR(10)&amp;TEXT($P$8,"0%")&amp;" de avance"</f>
        <v>H2  Red actual
Sí
100% de avance</v>
      </c>
      <c r="M32" s="104"/>
      <c r="N32" s="104"/>
      <c r="O32" s="105"/>
      <c r="P32" s="55"/>
      <c r="Q32" s="103" t="str">
        <f>'Objetivos y hitos'!$A$30&amp;CHAR(10)&amp;'Objetivos y hitos'!$E$30&amp;CHAR(10)&amp;TEXT($P$9,"0%")&amp;" de avance"</f>
        <v>H3  Otros ID
Sí
100% de avance</v>
      </c>
      <c r="R32" s="104"/>
      <c r="S32" s="104"/>
      <c r="T32" s="105"/>
      <c r="U32" s="55"/>
      <c r="V32" s="103" t="str">
        <f>'Objetivos y hitos'!$A$31&amp;CHAR(10)&amp;'Objetivos y hitos'!$E$31&amp;CHAR(10)&amp;TEXT($P$10,"0%")&amp;" de avance"</f>
        <v>H4  Remoto
Sí
100% de avance</v>
      </c>
      <c r="W32" s="104"/>
      <c r="X32" s="104"/>
      <c r="Y32" s="105"/>
      <c r="Z32" s="55"/>
      <c r="AA32" s="103" t="str">
        <f>'Objetivos y hitos'!$A$32&amp;CHAR(10)&amp;'Objetivos y hitos'!$E$32&amp;CHAR(10)&amp;TEXT($P$11,"0%")&amp;" de avance"</f>
        <v>H5  Registro
Sí
100% de avance</v>
      </c>
      <c r="AB32" s="104"/>
      <c r="AC32" s="104"/>
      <c r="AD32" s="105"/>
      <c r="AE32" s="55"/>
      <c r="AF32" s="103" t="str">
        <f>'Objetivos y hitos'!$A$33&amp;CHAR(10)&amp;'Objetivos y hitos'!$E$33&amp;CHAR(10)&amp;TEXT($P$12,"0%")&amp;" de avance"</f>
        <v>H6  Sensores
Sí
100% de avance</v>
      </c>
      <c r="AG32" s="104"/>
      <c r="AH32" s="104"/>
      <c r="AI32" s="105"/>
      <c r="AJ32" s="55"/>
      <c r="AK32" s="103" t="str">
        <f>'Objetivos y hitos'!$A$34&amp;CHAR(10)&amp;'Objetivos y hitos'!$E$34&amp;CHAR(10)&amp;TEXT($P$13,"0%")&amp;" de avance"</f>
        <v>H7 Interfaz de usuario
Parcialmente
67% de avance</v>
      </c>
      <c r="AL32" s="104"/>
      <c r="AM32" s="104"/>
      <c r="AN32" s="105"/>
      <c r="AO32" s="55"/>
      <c r="AP32" s="103" t="str">
        <f>'Objetivos y hitos'!$A$35&amp;CHAR(10)&amp;'Objetivos y hitos'!$E$35&amp;CHAR(10)&amp;TEXT($P$14,"0%")&amp;" de avance"</f>
        <v>H8  Entrega
Sin probar
0% de avance</v>
      </c>
      <c r="AQ32" s="104"/>
      <c r="AR32" s="104"/>
      <c r="AS32" s="105"/>
    </row>
    <row r="33" spans="1:45" ht="21" customHeight="1">
      <c r="A33" s="55"/>
      <c r="B33" s="106"/>
      <c r="C33" s="107"/>
      <c r="D33" s="107"/>
      <c r="E33" s="108"/>
      <c r="F33" s="55"/>
      <c r="G33" s="106"/>
      <c r="H33" s="107"/>
      <c r="I33" s="107"/>
      <c r="J33" s="108"/>
      <c r="K33" s="55"/>
      <c r="L33" s="106"/>
      <c r="M33" s="107"/>
      <c r="N33" s="107"/>
      <c r="O33" s="108"/>
      <c r="P33" s="55"/>
      <c r="Q33" s="106"/>
      <c r="R33" s="107"/>
      <c r="S33" s="107"/>
      <c r="T33" s="108"/>
      <c r="U33" s="55"/>
      <c r="V33" s="106"/>
      <c r="W33" s="107"/>
      <c r="X33" s="107"/>
      <c r="Y33" s="108"/>
      <c r="Z33" s="55"/>
      <c r="AA33" s="106"/>
      <c r="AB33" s="107"/>
      <c r="AC33" s="107"/>
      <c r="AD33" s="108"/>
      <c r="AE33" s="55"/>
      <c r="AF33" s="106"/>
      <c r="AG33" s="107"/>
      <c r="AH33" s="107"/>
      <c r="AI33" s="108"/>
      <c r="AJ33" s="55"/>
      <c r="AK33" s="106"/>
      <c r="AL33" s="107"/>
      <c r="AM33" s="107"/>
      <c r="AN33" s="108"/>
      <c r="AO33" s="55"/>
      <c r="AP33" s="106"/>
      <c r="AQ33" s="107"/>
      <c r="AR33" s="107"/>
      <c r="AS33" s="108"/>
    </row>
    <row r="34" spans="1:45" ht="21" customHeight="1">
      <c r="A34" s="55"/>
      <c r="B34" s="106"/>
      <c r="C34" s="107"/>
      <c r="D34" s="107"/>
      <c r="E34" s="108"/>
      <c r="F34" s="55"/>
      <c r="G34" s="106"/>
      <c r="H34" s="107"/>
      <c r="I34" s="107"/>
      <c r="J34" s="108"/>
      <c r="K34" s="55"/>
      <c r="L34" s="106"/>
      <c r="M34" s="107"/>
      <c r="N34" s="107"/>
      <c r="O34" s="108"/>
      <c r="P34" s="55"/>
      <c r="Q34" s="106"/>
      <c r="R34" s="107"/>
      <c r="S34" s="107"/>
      <c r="T34" s="108"/>
      <c r="U34" s="55"/>
      <c r="V34" s="106"/>
      <c r="W34" s="107"/>
      <c r="X34" s="107"/>
      <c r="Y34" s="108"/>
      <c r="Z34" s="55"/>
      <c r="AA34" s="106"/>
      <c r="AB34" s="107"/>
      <c r="AC34" s="107"/>
      <c r="AD34" s="108"/>
      <c r="AE34" s="55"/>
      <c r="AF34" s="106"/>
      <c r="AG34" s="107"/>
      <c r="AH34" s="107"/>
      <c r="AI34" s="108"/>
      <c r="AJ34" s="55"/>
      <c r="AK34" s="106"/>
      <c r="AL34" s="107"/>
      <c r="AM34" s="107"/>
      <c r="AN34" s="108"/>
      <c r="AO34" s="55"/>
      <c r="AP34" s="106"/>
      <c r="AQ34" s="107"/>
      <c r="AR34" s="107"/>
      <c r="AS34" s="108"/>
    </row>
    <row r="35" spans="1:45" ht="21" customHeight="1">
      <c r="A35" s="55"/>
      <c r="B35" s="109"/>
      <c r="C35" s="110"/>
      <c r="D35" s="110"/>
      <c r="E35" s="111"/>
      <c r="F35" s="55"/>
      <c r="G35" s="109"/>
      <c r="H35" s="110"/>
      <c r="I35" s="110"/>
      <c r="J35" s="111"/>
      <c r="K35" s="55"/>
      <c r="L35" s="109"/>
      <c r="M35" s="110"/>
      <c r="N35" s="110"/>
      <c r="O35" s="111"/>
      <c r="P35" s="55"/>
      <c r="Q35" s="109"/>
      <c r="R35" s="110"/>
      <c r="S35" s="110"/>
      <c r="T35" s="111"/>
      <c r="U35" s="55"/>
      <c r="V35" s="109"/>
      <c r="W35" s="110"/>
      <c r="X35" s="110"/>
      <c r="Y35" s="111"/>
      <c r="Z35" s="55"/>
      <c r="AA35" s="109"/>
      <c r="AB35" s="110"/>
      <c r="AC35" s="110"/>
      <c r="AD35" s="111"/>
      <c r="AE35" s="55"/>
      <c r="AF35" s="109"/>
      <c r="AG35" s="110"/>
      <c r="AH35" s="110"/>
      <c r="AI35" s="111"/>
      <c r="AJ35" s="55"/>
      <c r="AK35" s="109"/>
      <c r="AL35" s="110"/>
      <c r="AM35" s="110"/>
      <c r="AN35" s="111"/>
      <c r="AO35" s="55"/>
      <c r="AP35" s="109"/>
      <c r="AQ35" s="110"/>
      <c r="AR35" s="110"/>
      <c r="AS35" s="111"/>
    </row>
    <row r="36" spans="1:45" ht="21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</row>
    <row r="37" spans="1:45" ht="21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</row>
    <row r="38" spans="1:45" ht="21" customHeight="1">
      <c r="A38" s="55"/>
      <c r="B38" s="113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</row>
    <row r="39" spans="1:45" ht="21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</row>
    <row r="40" spans="1:45" ht="21" customHeight="1">
      <c r="A40" s="55"/>
      <c r="B40" s="103" t="str">
        <f>'Objetivos y hitos'!$A$9&amp;CHAR(10)&amp;'Objetivos y hitos'!$F$9&amp;CHAR(10)&amp;TEXT('Objetivos y hitos'!$E$9/'Objetivos y hitos'!$D$9,"0%")&amp;" · "&amp;'Objetivos y hitos'!$E$9&amp;" de "&amp;'Objetivos y hitos'!$D$9&amp;" pruebas con Sí"</f>
        <v>O0 · Preparación
Sí
100% · 2 de 2 pruebas con Sí</v>
      </c>
      <c r="C40" s="104"/>
      <c r="D40" s="104"/>
      <c r="E40" s="105"/>
      <c r="F40" s="55"/>
      <c r="G40" s="103" t="str">
        <f>'Objetivos y hitos'!$A$10&amp;CHAR(10)&amp;'Objetivos y hitos'!$F$10&amp;CHAR(10)&amp;TEXT('Objetivos y hitos'!$E$10/'Objetivos y hitos'!$D$10,"0%")&amp;" · "&amp;'Objetivos y hitos'!$E$10&amp;" de "&amp;'Objetivos y hitos'!$D$10&amp;" pruebas con Sí"</f>
        <v>O1 · Identificación y Lectura local
Sí
100% · 5 de 5 pruebas con Sí</v>
      </c>
      <c r="H40" s="104"/>
      <c r="I40" s="104"/>
      <c r="J40" s="105"/>
      <c r="K40" s="55"/>
      <c r="L40" s="103" t="str">
        <f>'Objetivos y hitos'!$A$12&amp;CHAR(10)&amp;'Objetivos y hitos'!$F$12&amp;CHAR(10)&amp;TEXT('Objetivos y hitos'!$E$12/'Objetivos y hitos'!$D$12,"0%")&amp;" · "&amp;'Objetivos y hitos'!$E$12&amp;" de "&amp;'Objetivos y hitos'!$D$12&amp;" pruebas con Sí"</f>
        <v>O3 · Búsqueda en la misma red
Sí
100% · 5 de 5 pruebas con Sí</v>
      </c>
      <c r="M40" s="104"/>
      <c r="N40" s="104"/>
      <c r="O40" s="105"/>
      <c r="P40" s="55"/>
      <c r="Q40" s="103" t="str">
        <f>'Objetivos y hitos'!$A$13&amp;CHAR(10)&amp;'Objetivos y hitos'!$F$13&amp;CHAR(10)&amp;TEXT('Objetivos y hitos'!$E$13/'Objetivos y hitos'!$D$13,"0%")&amp;" · "&amp;'Objetivos y hitos'!$E$13&amp;" de "&amp;'Objetivos y hitos'!$D$13&amp;" pruebas con Sí"</f>
        <v>O4 · Búsqueda en otras redes
Sí
100% · 3 de 3 pruebas con Sí</v>
      </c>
      <c r="R40" s="104"/>
      <c r="S40" s="104"/>
      <c r="T40" s="105"/>
      <c r="U40" s="55"/>
      <c r="V40" s="103" t="str">
        <f>'Objetivos y hitos'!$A$14&amp;CHAR(10)&amp;'Objetivos y hitos'!$F$14&amp;CHAR(10)&amp;TEXT('Objetivos y hitos'!$E$14/'Objetivos y hitos'!$D$14,"0%")&amp;" · "&amp;'Objetivos y hitos'!$E$14&amp;" de "&amp;'Objetivos y hitos'!$D$14&amp;" pruebas con Sí"</f>
        <v>O5 · Configuración remota
Sí
100% · 5 de 5 pruebas con Sí</v>
      </c>
      <c r="W40" s="104"/>
      <c r="X40" s="104"/>
      <c r="Y40" s="105"/>
      <c r="Z40" s="55"/>
      <c r="AA40" s="103" t="str">
        <f>'Objetivos y hitos'!$A$16&amp;CHAR(10)&amp;'Objetivos y hitos'!$F$16&amp;CHAR(10)&amp;TEXT('Objetivos y hitos'!$E$16/'Objetivos y hitos'!$D$16,"0%")&amp;" · "&amp;'Objetivos y hitos'!$E$16&amp;" de "&amp;'Objetivos y hitos'!$D$16&amp;" pruebas con Sí"</f>
        <v>O7 · Registro por módulo
Sí
100% · 3 de 3 pruebas con Sí</v>
      </c>
      <c r="AB40" s="104"/>
      <c r="AC40" s="104"/>
      <c r="AD40" s="105"/>
      <c r="AE40" s="55"/>
      <c r="AF40" s="103" t="str">
        <f>'Objetivos y hitos'!$A$17&amp;CHAR(10)&amp;'Objetivos y hitos'!$F$17&amp;CHAR(10)&amp;TEXT('Objetivos y hitos'!$E$17/'Objetivos y hitos'!$D$17,"0%")&amp;" · "&amp;'Objetivos y hitos'!$E$17&amp;" de "&amp;'Objetivos y hitos'!$D$17&amp;" pruebas con Sí"</f>
        <v>O8 · Recepción de mediciones
Sí
100% · 1 de 1 pruebas con Sí</v>
      </c>
      <c r="AG40" s="104"/>
      <c r="AH40" s="104"/>
      <c r="AI40" s="105"/>
      <c r="AJ40" s="55"/>
      <c r="AK40" s="103" t="str">
        <f>'Objetivos y hitos'!$A$18&amp;CHAR(10)&amp;'Objetivos y hitos'!$F$18&amp;CHAR(10)&amp;TEXT('Objetivos y hitos'!$E$18/'Objetivos y hitos'!$D$18,"0%")&amp;" · "&amp;'Objetivos y hitos'!$E$18&amp;" de "&amp;'Objetivos y hitos'!$D$18&amp;" pruebas con Sí"</f>
        <v>O9 · Interfaz de usuario
Parcialmente
67% · 2 de 3 pruebas con Sí</v>
      </c>
      <c r="AL40" s="104"/>
      <c r="AM40" s="104"/>
      <c r="AN40" s="105"/>
      <c r="AO40" s="55"/>
      <c r="AP40" s="103" t="str">
        <f>'Objetivos y hitos'!$A$19&amp;CHAR(10)&amp;'Objetivos y hitos'!$F$19&amp;CHAR(10)&amp;TEXT('Objetivos y hitos'!$E$19/'Objetivos y hitos'!$D$19,"0%")&amp;" · "&amp;'Objetivos y hitos'!$E$19&amp;" de "&amp;'Objetivos y hitos'!$D$19&amp;" pruebas con Sí"</f>
        <v>O10 ·Entrega
Sin probar
0% · 0 de 3 pruebas con Sí</v>
      </c>
      <c r="AQ40" s="104"/>
      <c r="AR40" s="104"/>
      <c r="AS40" s="105"/>
    </row>
    <row r="41" spans="1:45" ht="21" customHeight="1">
      <c r="A41" s="55"/>
      <c r="B41" s="106"/>
      <c r="C41" s="107"/>
      <c r="D41" s="107"/>
      <c r="E41" s="108"/>
      <c r="F41" s="55"/>
      <c r="G41" s="106"/>
      <c r="H41" s="107"/>
      <c r="I41" s="107"/>
      <c r="J41" s="108"/>
      <c r="K41" s="55"/>
      <c r="L41" s="106"/>
      <c r="M41" s="107"/>
      <c r="N41" s="107"/>
      <c r="O41" s="108"/>
      <c r="P41" s="55"/>
      <c r="Q41" s="106"/>
      <c r="R41" s="107"/>
      <c r="S41" s="107"/>
      <c r="T41" s="108"/>
      <c r="U41" s="55"/>
      <c r="V41" s="106"/>
      <c r="W41" s="107"/>
      <c r="X41" s="107"/>
      <c r="Y41" s="108"/>
      <c r="Z41" s="55"/>
      <c r="AA41" s="106"/>
      <c r="AB41" s="107"/>
      <c r="AC41" s="107"/>
      <c r="AD41" s="108"/>
      <c r="AE41" s="55"/>
      <c r="AF41" s="106"/>
      <c r="AG41" s="107"/>
      <c r="AH41" s="107"/>
      <c r="AI41" s="108"/>
      <c r="AJ41" s="55"/>
      <c r="AK41" s="106"/>
      <c r="AL41" s="107"/>
      <c r="AM41" s="107"/>
      <c r="AN41" s="108"/>
      <c r="AO41" s="55"/>
      <c r="AP41" s="106"/>
      <c r="AQ41" s="107"/>
      <c r="AR41" s="107"/>
      <c r="AS41" s="108"/>
    </row>
    <row r="42" spans="1:45" ht="21" customHeight="1">
      <c r="A42" s="55"/>
      <c r="B42" s="106"/>
      <c r="C42" s="107"/>
      <c r="D42" s="107"/>
      <c r="E42" s="108"/>
      <c r="F42" s="55"/>
      <c r="G42" s="106"/>
      <c r="H42" s="107"/>
      <c r="I42" s="107"/>
      <c r="J42" s="108"/>
      <c r="K42" s="55"/>
      <c r="L42" s="106"/>
      <c r="M42" s="107"/>
      <c r="N42" s="107"/>
      <c r="O42" s="108"/>
      <c r="P42" s="55"/>
      <c r="Q42" s="106"/>
      <c r="R42" s="107"/>
      <c r="S42" s="107"/>
      <c r="T42" s="108"/>
      <c r="U42" s="55"/>
      <c r="V42" s="106"/>
      <c r="W42" s="107"/>
      <c r="X42" s="107"/>
      <c r="Y42" s="108"/>
      <c r="Z42" s="55"/>
      <c r="AA42" s="106"/>
      <c r="AB42" s="107"/>
      <c r="AC42" s="107"/>
      <c r="AD42" s="108"/>
      <c r="AE42" s="55"/>
      <c r="AF42" s="106"/>
      <c r="AG42" s="107"/>
      <c r="AH42" s="107"/>
      <c r="AI42" s="108"/>
      <c r="AJ42" s="55"/>
      <c r="AK42" s="106"/>
      <c r="AL42" s="107"/>
      <c r="AM42" s="107"/>
      <c r="AN42" s="108"/>
      <c r="AO42" s="55"/>
      <c r="AP42" s="106"/>
      <c r="AQ42" s="107"/>
      <c r="AR42" s="107"/>
      <c r="AS42" s="108"/>
    </row>
    <row r="43" spans="1:45" ht="21" customHeight="1">
      <c r="A43" s="55"/>
      <c r="B43" s="109"/>
      <c r="C43" s="110"/>
      <c r="D43" s="110"/>
      <c r="E43" s="111"/>
      <c r="F43" s="55"/>
      <c r="G43" s="109"/>
      <c r="H43" s="110"/>
      <c r="I43" s="110"/>
      <c r="J43" s="111"/>
      <c r="K43" s="55"/>
      <c r="L43" s="109"/>
      <c r="M43" s="110"/>
      <c r="N43" s="110"/>
      <c r="O43" s="111"/>
      <c r="P43" s="55"/>
      <c r="Q43" s="109"/>
      <c r="R43" s="110"/>
      <c r="S43" s="110"/>
      <c r="T43" s="111"/>
      <c r="U43" s="55"/>
      <c r="V43" s="109"/>
      <c r="W43" s="110"/>
      <c r="X43" s="110"/>
      <c r="Y43" s="111"/>
      <c r="Z43" s="55"/>
      <c r="AA43" s="109"/>
      <c r="AB43" s="110"/>
      <c r="AC43" s="110"/>
      <c r="AD43" s="111"/>
      <c r="AE43" s="55"/>
      <c r="AF43" s="109"/>
      <c r="AG43" s="110"/>
      <c r="AH43" s="110"/>
      <c r="AI43" s="111"/>
      <c r="AJ43" s="55"/>
      <c r="AK43" s="109"/>
      <c r="AL43" s="110"/>
      <c r="AM43" s="110"/>
      <c r="AN43" s="111"/>
      <c r="AO43" s="55"/>
      <c r="AP43" s="109"/>
      <c r="AQ43" s="110"/>
      <c r="AR43" s="110"/>
      <c r="AS43" s="111"/>
    </row>
    <row r="44" spans="1:45" ht="21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</row>
    <row r="45" spans="1:45" ht="21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</row>
    <row r="46" spans="1:45" ht="21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</row>
    <row r="47" spans="1:45" ht="21" customHeight="1">
      <c r="A47" s="55"/>
      <c r="B47" s="55"/>
      <c r="C47" s="55"/>
      <c r="D47" s="55"/>
      <c r="E47" s="55"/>
      <c r="F47" s="55"/>
      <c r="G47" s="103" t="str">
        <f>'Objetivos y hitos'!$A$11&amp;CHAR(10)&amp;'Objetivos y hitos'!$F$11&amp;CHAR(10)&amp;TEXT('Objetivos y hitos'!$E$11/'Objetivos y hitos'!$D$11,"0%")&amp;" · "&amp;'Objetivos y hitos'!$E$11&amp;" de "&amp;'Objetivos y hitos'!$D$11&amp;" pruebas con Sí"</f>
        <v>O2 · Configuración local
Sí
100% · 5 de 5 pruebas con Sí</v>
      </c>
      <c r="H47" s="104"/>
      <c r="I47" s="104"/>
      <c r="J47" s="10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</row>
    <row r="48" spans="1:45" ht="21" customHeight="1">
      <c r="A48" s="55"/>
      <c r="B48" s="55"/>
      <c r="C48" s="55"/>
      <c r="D48" s="55"/>
      <c r="E48" s="55"/>
      <c r="F48" s="55"/>
      <c r="G48" s="106"/>
      <c r="H48" s="107"/>
      <c r="I48" s="107"/>
      <c r="J48" s="108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</row>
    <row r="49" spans="1:45" ht="21" customHeight="1">
      <c r="A49" s="55"/>
      <c r="B49" s="55"/>
      <c r="C49" s="55"/>
      <c r="D49" s="55"/>
      <c r="E49" s="55"/>
      <c r="F49" s="55"/>
      <c r="G49" s="106"/>
      <c r="H49" s="107"/>
      <c r="I49" s="107"/>
      <c r="J49" s="108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</row>
    <row r="50" spans="1:45" ht="21" customHeight="1">
      <c r="A50" s="55"/>
      <c r="B50" s="55"/>
      <c r="C50" s="55"/>
      <c r="D50" s="55"/>
      <c r="E50" s="55"/>
      <c r="F50" s="55"/>
      <c r="G50" s="109"/>
      <c r="H50" s="110"/>
      <c r="I50" s="110"/>
      <c r="J50" s="111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</row>
    <row r="51" spans="1:45" ht="21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</row>
    <row r="52" spans="1:45" ht="21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</row>
    <row r="53" spans="1:45" ht="21" customHeight="1">
      <c r="A53" s="55"/>
      <c r="B53" s="102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</row>
    <row r="54" spans="1:45" ht="27" customHeight="1"/>
    <row r="55" spans="1:45" ht="27" customHeight="1"/>
    <row r="56" spans="1:45" ht="27" customHeight="1"/>
    <row r="57" spans="1:45" ht="27" customHeight="1"/>
    <row r="58" spans="1:45" ht="27" customHeight="1"/>
    <row r="59" spans="1:45" ht="27" customHeight="1"/>
    <row r="60" spans="1:45" ht="27" customHeight="1"/>
    <row r="61" spans="1:45" ht="27" customHeight="1"/>
    <row r="62" spans="1:45" ht="27" customHeight="1"/>
    <row r="63" spans="1:45" ht="27" customHeight="1"/>
    <row r="64" spans="1:45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2.05" customHeight="1"/>
  </sheetData>
  <mergeCells count="71">
    <mergeCell ref="B38:AS38"/>
    <mergeCell ref="B53:AS53"/>
    <mergeCell ref="AA40:AD43"/>
    <mergeCell ref="AF40:AI43"/>
    <mergeCell ref="AK40:AN43"/>
    <mergeCell ref="AP40:AS43"/>
    <mergeCell ref="G47:J50"/>
    <mergeCell ref="B40:E43"/>
    <mergeCell ref="G40:J43"/>
    <mergeCell ref="L40:O43"/>
    <mergeCell ref="Q40:T43"/>
    <mergeCell ref="V40:Y43"/>
    <mergeCell ref="B19:AS19"/>
    <mergeCell ref="B20:AS20"/>
    <mergeCell ref="B32:E35"/>
    <mergeCell ref="G32:J35"/>
    <mergeCell ref="L32:O35"/>
    <mergeCell ref="Q32:T35"/>
    <mergeCell ref="V32:Y35"/>
    <mergeCell ref="AA32:AD35"/>
    <mergeCell ref="AF32:AI35"/>
    <mergeCell ref="AK32:AN35"/>
    <mergeCell ref="AP32:AS35"/>
    <mergeCell ref="L24:O27"/>
    <mergeCell ref="L22:O22"/>
    <mergeCell ref="B14:F14"/>
    <mergeCell ref="G14:J14"/>
    <mergeCell ref="K14:N14"/>
    <mergeCell ref="Q14:V14"/>
    <mergeCell ref="B17:F17"/>
    <mergeCell ref="G17:J17"/>
    <mergeCell ref="K17:N17"/>
    <mergeCell ref="P17:S17"/>
    <mergeCell ref="B12:F12"/>
    <mergeCell ref="G12:J12"/>
    <mergeCell ref="K12:N12"/>
    <mergeCell ref="Q12:V12"/>
    <mergeCell ref="B13:F13"/>
    <mergeCell ref="G13:J13"/>
    <mergeCell ref="K13:N13"/>
    <mergeCell ref="Q13:V13"/>
    <mergeCell ref="B10:F10"/>
    <mergeCell ref="G10:J10"/>
    <mergeCell ref="K10:N10"/>
    <mergeCell ref="Q10:V10"/>
    <mergeCell ref="B11:F11"/>
    <mergeCell ref="G11:J11"/>
    <mergeCell ref="K11:N11"/>
    <mergeCell ref="Q11:V11"/>
    <mergeCell ref="B8:F8"/>
    <mergeCell ref="G8:J8"/>
    <mergeCell ref="K8:N8"/>
    <mergeCell ref="Q8:V8"/>
    <mergeCell ref="B9:F9"/>
    <mergeCell ref="G9:J9"/>
    <mergeCell ref="K9:N9"/>
    <mergeCell ref="Q9:V9"/>
    <mergeCell ref="B6:F6"/>
    <mergeCell ref="G6:J6"/>
    <mergeCell ref="K6:N6"/>
    <mergeCell ref="Q6:V6"/>
    <mergeCell ref="B7:F7"/>
    <mergeCell ref="G7:J7"/>
    <mergeCell ref="K7:N7"/>
    <mergeCell ref="Q7:V7"/>
    <mergeCell ref="B2:V2"/>
    <mergeCell ref="B3:V3"/>
    <mergeCell ref="B5:F5"/>
    <mergeCell ref="G5:J5"/>
    <mergeCell ref="K5:N5"/>
    <mergeCell ref="Q5:V5"/>
  </mergeCells>
  <conditionalFormatting sqref="B32:E35">
    <cfRule type="expression" dxfId="83" priority="38">
      <formula>ISNUMBER(SEARCH(CHAR(10)&amp;"Sí"&amp;CHAR(10),$B$32))</formula>
    </cfRule>
    <cfRule type="expression" dxfId="82" priority="39">
      <formula>ISNUMBER(SEARCH(CHAR(10)&amp;"Parcialmente"&amp;CHAR(10),$B$32))</formula>
    </cfRule>
    <cfRule type="expression" dxfId="81" priority="40">
      <formula>ISNUMBER(SEARCH(CHAR(10)&amp;"No"&amp;CHAR(10),$B$32))</formula>
    </cfRule>
    <cfRule type="expression" dxfId="80" priority="41">
      <formula>ISNUMBER(SEARCH(CHAR(10)&amp;"Sin probar"&amp;CHAR(10),$B$32))</formula>
    </cfRule>
  </conditionalFormatting>
  <conditionalFormatting sqref="B40:E43">
    <cfRule type="expression" dxfId="79" priority="76">
      <formula>ISNUMBER(SEARCH(CHAR(10)&amp;"No"&amp;CHAR(10),$B$40))</formula>
    </cfRule>
    <cfRule type="expression" dxfId="78" priority="77">
      <formula>ISNUMBER(SEARCH(CHAR(10)&amp;"Sin probar"&amp;CHAR(10),$B$40))</formula>
    </cfRule>
    <cfRule type="expression" dxfId="77" priority="75">
      <formula>ISNUMBER(SEARCH(CHAR(10)&amp;"Parcialmente"&amp;CHAR(10),$B$40))</formula>
    </cfRule>
    <cfRule type="expression" dxfId="76" priority="74">
      <formula>ISNUMBER(SEARCH(CHAR(10)&amp;"Sí"&amp;CHAR(10),$B$40))</formula>
    </cfRule>
  </conditionalFormatting>
  <conditionalFormatting sqref="G32:J35">
    <cfRule type="expression" dxfId="75" priority="43">
      <formula>ISNUMBER(SEARCH(CHAR(10)&amp;"Parcialmente"&amp;CHAR(10),$G$32))</formula>
    </cfRule>
    <cfRule type="expression" dxfId="74" priority="45">
      <formula>ISNUMBER(SEARCH(CHAR(10)&amp;"Sin probar"&amp;CHAR(10),$G$32))</formula>
    </cfRule>
    <cfRule type="expression" dxfId="73" priority="42">
      <formula>ISNUMBER(SEARCH(CHAR(10)&amp;"Sí"&amp;CHAR(10),$G$32))</formula>
    </cfRule>
    <cfRule type="expression" dxfId="72" priority="44">
      <formula>ISNUMBER(SEARCH(CHAR(10)&amp;"No"&amp;CHAR(10),$G$32))</formula>
    </cfRule>
  </conditionalFormatting>
  <conditionalFormatting sqref="G40:J43">
    <cfRule type="expression" dxfId="71" priority="79">
      <formula>ISNUMBER(SEARCH(CHAR(10)&amp;"Parcialmente"&amp;CHAR(10),$G$40))</formula>
    </cfRule>
    <cfRule type="expression" dxfId="70" priority="78">
      <formula>ISNUMBER(SEARCH(CHAR(10)&amp;"Sí"&amp;CHAR(10),$G$40))</formula>
    </cfRule>
    <cfRule type="expression" dxfId="69" priority="81">
      <formula>ISNUMBER(SEARCH(CHAR(10)&amp;"Sin probar"&amp;CHAR(10),$G$40))</formula>
    </cfRule>
    <cfRule type="expression" dxfId="68" priority="80">
      <formula>ISNUMBER(SEARCH(CHAR(10)&amp;"No"&amp;CHAR(10),$G$40))</formula>
    </cfRule>
  </conditionalFormatting>
  <conditionalFormatting sqref="G47:J50">
    <cfRule type="expression" dxfId="67" priority="113">
      <formula>ISNUMBER(SEARCH(CHAR(10)&amp;"Sin probar"&amp;CHAR(10),$G$47))</formula>
    </cfRule>
    <cfRule type="expression" dxfId="66" priority="112">
      <formula>ISNUMBER(SEARCH(CHAR(10)&amp;"No"&amp;CHAR(10),$G$47))</formula>
    </cfRule>
    <cfRule type="expression" dxfId="65" priority="111">
      <formula>ISNUMBER(SEARCH(CHAR(10)&amp;"Parcialmente"&amp;CHAR(10),$G$47))</formula>
    </cfRule>
    <cfRule type="expression" dxfId="64" priority="110">
      <formula>ISNUMBER(SEARCH(CHAR(10)&amp;"Sí"&amp;CHAR(10),$G$47))</formula>
    </cfRule>
  </conditionalFormatting>
  <conditionalFormatting sqref="L24:O27">
    <cfRule type="expression" dxfId="63" priority="117">
      <formula>ISNUMBER(SEARCH(CHAR(10)&amp;"Sin probar"&amp;CHAR(10),$L$24))</formula>
    </cfRule>
    <cfRule type="expression" dxfId="62" priority="116">
      <formula>ISNUMBER(SEARCH(CHAR(10)&amp;"No"&amp;CHAR(10),$L$24))</formula>
    </cfRule>
    <cfRule type="expression" dxfId="61" priority="115">
      <formula>ISNUMBER(SEARCH(CHAR(10)&amp;"Parcialmente"&amp;CHAR(10),$L$24))</formula>
    </cfRule>
    <cfRule type="expression" dxfId="60" priority="114">
      <formula>ISNUMBER(SEARCH(CHAR(10)&amp;"Sí"&amp;CHAR(10),$L$24))</formula>
    </cfRule>
  </conditionalFormatting>
  <conditionalFormatting sqref="L32:O35">
    <cfRule type="expression" dxfId="59" priority="46">
      <formula>ISNUMBER(SEARCH(CHAR(10)&amp;"Sí"&amp;CHAR(10),$L$32))</formula>
    </cfRule>
    <cfRule type="expression" dxfId="58" priority="47">
      <formula>ISNUMBER(SEARCH(CHAR(10)&amp;"Parcialmente"&amp;CHAR(10),$L$32))</formula>
    </cfRule>
    <cfRule type="expression" dxfId="57" priority="48">
      <formula>ISNUMBER(SEARCH(CHAR(10)&amp;"No"&amp;CHAR(10),$L$32))</formula>
    </cfRule>
    <cfRule type="expression" dxfId="56" priority="49">
      <formula>ISNUMBER(SEARCH(CHAR(10)&amp;"Sin probar"&amp;CHAR(10),$L$32))</formula>
    </cfRule>
  </conditionalFormatting>
  <conditionalFormatting sqref="L40:O43">
    <cfRule type="expression" dxfId="55" priority="85">
      <formula>ISNUMBER(SEARCH(CHAR(10)&amp;"Sin probar"&amp;CHAR(10),$L$40))</formula>
    </cfRule>
    <cfRule type="expression" dxfId="54" priority="84">
      <formula>ISNUMBER(SEARCH(CHAR(10)&amp;"No"&amp;CHAR(10),$L$40))</formula>
    </cfRule>
    <cfRule type="expression" dxfId="53" priority="83">
      <formula>ISNUMBER(SEARCH(CHAR(10)&amp;"Parcialmente"&amp;CHAR(10),$L$40))</formula>
    </cfRule>
    <cfRule type="expression" dxfId="52" priority="82">
      <formula>ISNUMBER(SEARCH(CHAR(10)&amp;"Sí"&amp;CHAR(10),$L$40))</formula>
    </cfRule>
  </conditionalFormatting>
  <conditionalFormatting sqref="P6:P14">
    <cfRule type="dataBar" priority="37">
      <dataBar>
        <cfvo type="num" val="0"/>
        <cfvo type="num" val="1"/>
        <color rgb="FF9ECBDD"/>
      </dataBar>
    </cfRule>
    <cfRule type="dataBar" priority="118">
      <dataBar>
        <cfvo type="num" val="0"/>
        <cfvo type="num" val="1"/>
        <color rgb="FF9ECBDD"/>
      </dataBar>
      <extLst>
        <ext xmlns:x14="http://schemas.microsoft.com/office/spreadsheetml/2009/9/main" uri="{B025F937-C7B1-47D3-B67F-A62EFF666E3E}">
          <x14:id>{B4D0C539-44DB-31A2-3CA1-262E12043192}</x14:id>
        </ext>
      </extLst>
    </cfRule>
  </conditionalFormatting>
  <conditionalFormatting sqref="Q32:T35">
    <cfRule type="expression" dxfId="51" priority="53">
      <formula>ISNUMBER(SEARCH(CHAR(10)&amp;"Sin probar"&amp;CHAR(10),$Q$32))</formula>
    </cfRule>
    <cfRule type="expression" dxfId="50" priority="50">
      <formula>ISNUMBER(SEARCH(CHAR(10)&amp;"Sí"&amp;CHAR(10),$Q$32))</formula>
    </cfRule>
    <cfRule type="expression" dxfId="49" priority="51">
      <formula>ISNUMBER(SEARCH(CHAR(10)&amp;"Parcialmente"&amp;CHAR(10),$Q$32))</formula>
    </cfRule>
    <cfRule type="expression" dxfId="48" priority="52">
      <formula>ISNUMBER(SEARCH(CHAR(10)&amp;"No"&amp;CHAR(10),$Q$32))</formula>
    </cfRule>
  </conditionalFormatting>
  <conditionalFormatting sqref="Q40:T43">
    <cfRule type="expression" dxfId="47" priority="89">
      <formula>ISNUMBER(SEARCH(CHAR(10)&amp;"Sin probar"&amp;CHAR(10),$Q$40))</formula>
    </cfRule>
    <cfRule type="expression" dxfId="46" priority="86">
      <formula>ISNUMBER(SEARCH(CHAR(10)&amp;"Sí"&amp;CHAR(10),$Q$40))</formula>
    </cfRule>
    <cfRule type="expression" dxfId="45" priority="87">
      <formula>ISNUMBER(SEARCH(CHAR(10)&amp;"Parcialmente"&amp;CHAR(10),$Q$40))</formula>
    </cfRule>
    <cfRule type="expression" dxfId="44" priority="88">
      <formula>ISNUMBER(SEARCH(CHAR(10)&amp;"No"&amp;CHAR(10),$Q$40))</formula>
    </cfRule>
  </conditionalFormatting>
  <conditionalFormatting sqref="Q6:V14">
    <cfRule type="expression" dxfId="43" priority="2">
      <formula>$Q6="Parcialmente"</formula>
    </cfRule>
    <cfRule type="expression" dxfId="42" priority="3">
      <formula>$Q6="No"</formula>
    </cfRule>
    <cfRule type="expression" dxfId="41" priority="4">
      <formula>$Q6="Sin probar"</formula>
    </cfRule>
    <cfRule type="expression" dxfId="40" priority="1">
      <formula>$Q6="Sí"</formula>
    </cfRule>
  </conditionalFormatting>
  <conditionalFormatting sqref="V32:Y35">
    <cfRule type="expression" dxfId="39" priority="54">
      <formula>ISNUMBER(SEARCH(CHAR(10)&amp;"Sí"&amp;CHAR(10),$V$32))</formula>
    </cfRule>
    <cfRule type="expression" dxfId="38" priority="55">
      <formula>ISNUMBER(SEARCH(CHAR(10)&amp;"Parcialmente"&amp;CHAR(10),$V$32))</formula>
    </cfRule>
    <cfRule type="expression" dxfId="37" priority="56">
      <formula>ISNUMBER(SEARCH(CHAR(10)&amp;"No"&amp;CHAR(10),$V$32))</formula>
    </cfRule>
    <cfRule type="expression" dxfId="36" priority="57">
      <formula>ISNUMBER(SEARCH(CHAR(10)&amp;"Sin probar"&amp;CHAR(10),$V$32))</formula>
    </cfRule>
  </conditionalFormatting>
  <conditionalFormatting sqref="V40:Y43">
    <cfRule type="expression" dxfId="35" priority="90">
      <formula>ISNUMBER(SEARCH(CHAR(10)&amp;"Sí"&amp;CHAR(10),$V$40))</formula>
    </cfRule>
    <cfRule type="expression" dxfId="34" priority="91">
      <formula>ISNUMBER(SEARCH(CHAR(10)&amp;"Parcialmente"&amp;CHAR(10),$V$40))</formula>
    </cfRule>
    <cfRule type="expression" dxfId="33" priority="92">
      <formula>ISNUMBER(SEARCH(CHAR(10)&amp;"No"&amp;CHAR(10),$V$40))</formula>
    </cfRule>
    <cfRule type="expression" dxfId="32" priority="93">
      <formula>ISNUMBER(SEARCH(CHAR(10)&amp;"Sin probar"&amp;CHAR(10),$V$40))</formula>
    </cfRule>
  </conditionalFormatting>
  <conditionalFormatting sqref="AA32:AD35">
    <cfRule type="expression" dxfId="31" priority="58">
      <formula>ISNUMBER(SEARCH(CHAR(10)&amp;"Sí"&amp;CHAR(10),$AA$32))</formula>
    </cfRule>
    <cfRule type="expression" dxfId="30" priority="60">
      <formula>ISNUMBER(SEARCH(CHAR(10)&amp;"No"&amp;CHAR(10),$AA$32))</formula>
    </cfRule>
    <cfRule type="expression" dxfId="29" priority="61">
      <formula>ISNUMBER(SEARCH(CHAR(10)&amp;"Sin probar"&amp;CHAR(10),$AA$32))</formula>
    </cfRule>
    <cfRule type="expression" dxfId="28" priority="59">
      <formula>ISNUMBER(SEARCH(CHAR(10)&amp;"Parcialmente"&amp;CHAR(10),$AA$32))</formula>
    </cfRule>
  </conditionalFormatting>
  <conditionalFormatting sqref="AA40:AD43">
    <cfRule type="expression" dxfId="27" priority="97">
      <formula>ISNUMBER(SEARCH(CHAR(10)&amp;"Sin probar"&amp;CHAR(10),$AA$40))</formula>
    </cfRule>
    <cfRule type="expression" dxfId="26" priority="95">
      <formula>ISNUMBER(SEARCH(CHAR(10)&amp;"Parcialmente"&amp;CHAR(10),$AA$40))</formula>
    </cfRule>
    <cfRule type="expression" dxfId="25" priority="96">
      <formula>ISNUMBER(SEARCH(CHAR(10)&amp;"No"&amp;CHAR(10),$AA$40))</formula>
    </cfRule>
    <cfRule type="expression" dxfId="24" priority="94">
      <formula>ISNUMBER(SEARCH(CHAR(10)&amp;"Sí"&amp;CHAR(10),$AA$40))</formula>
    </cfRule>
  </conditionalFormatting>
  <conditionalFormatting sqref="AF32:AI35">
    <cfRule type="expression" dxfId="23" priority="62">
      <formula>ISNUMBER(SEARCH(CHAR(10)&amp;"Sí"&amp;CHAR(10),$AF$32))</formula>
    </cfRule>
    <cfRule type="expression" dxfId="22" priority="65">
      <formula>ISNUMBER(SEARCH(CHAR(10)&amp;"Sin probar"&amp;CHAR(10),$AF$32))</formula>
    </cfRule>
    <cfRule type="expression" dxfId="21" priority="64">
      <formula>ISNUMBER(SEARCH(CHAR(10)&amp;"No"&amp;CHAR(10),$AF$32))</formula>
    </cfRule>
    <cfRule type="expression" dxfId="20" priority="63">
      <formula>ISNUMBER(SEARCH(CHAR(10)&amp;"Parcialmente"&amp;CHAR(10),$AF$32))</formula>
    </cfRule>
  </conditionalFormatting>
  <conditionalFormatting sqref="AF40:AI43">
    <cfRule type="expression" dxfId="19" priority="100">
      <formula>ISNUMBER(SEARCH(CHAR(10)&amp;"No"&amp;CHAR(10),$AF$40))</formula>
    </cfRule>
    <cfRule type="expression" dxfId="18" priority="101">
      <formula>ISNUMBER(SEARCH(CHAR(10)&amp;"Sin probar"&amp;CHAR(10),$AF$40))</formula>
    </cfRule>
    <cfRule type="expression" dxfId="17" priority="99">
      <formula>ISNUMBER(SEARCH(CHAR(10)&amp;"Parcialmente"&amp;CHAR(10),$AF$40))</formula>
    </cfRule>
    <cfRule type="expression" dxfId="16" priority="98">
      <formula>ISNUMBER(SEARCH(CHAR(10)&amp;"Sí"&amp;CHAR(10),$AF$40))</formula>
    </cfRule>
  </conditionalFormatting>
  <conditionalFormatting sqref="AK32:AN35">
    <cfRule type="expression" dxfId="15" priority="69">
      <formula>ISNUMBER(SEARCH(CHAR(10)&amp;"Sin probar"&amp;CHAR(10),$AK$32))</formula>
    </cfRule>
    <cfRule type="expression" dxfId="14" priority="66">
      <formula>ISNUMBER(SEARCH(CHAR(10)&amp;"Sí"&amp;CHAR(10),$AK$32))</formula>
    </cfRule>
    <cfRule type="expression" dxfId="13" priority="67">
      <formula>ISNUMBER(SEARCH(CHAR(10)&amp;"Parcialmente"&amp;CHAR(10),$AK$32))</formula>
    </cfRule>
    <cfRule type="expression" dxfId="12" priority="68">
      <formula>ISNUMBER(SEARCH(CHAR(10)&amp;"No"&amp;CHAR(10),$AK$32))</formula>
    </cfRule>
  </conditionalFormatting>
  <conditionalFormatting sqref="AK40:AN43">
    <cfRule type="expression" dxfId="11" priority="102">
      <formula>ISNUMBER(SEARCH(CHAR(10)&amp;"Sí"&amp;CHAR(10),$AK$40))</formula>
    </cfRule>
    <cfRule type="expression" dxfId="10" priority="103">
      <formula>ISNUMBER(SEARCH(CHAR(10)&amp;"Parcialmente"&amp;CHAR(10),$AK$40))</formula>
    </cfRule>
    <cfRule type="expression" dxfId="9" priority="104">
      <formula>ISNUMBER(SEARCH(CHAR(10)&amp;"No"&amp;CHAR(10),$AK$40))</formula>
    </cfRule>
    <cfRule type="expression" dxfId="8" priority="105">
      <formula>ISNUMBER(SEARCH(CHAR(10)&amp;"Sin probar"&amp;CHAR(10),$AK$40))</formula>
    </cfRule>
  </conditionalFormatting>
  <conditionalFormatting sqref="AP32:AS35">
    <cfRule type="expression" dxfId="7" priority="71">
      <formula>ISNUMBER(SEARCH(CHAR(10)&amp;"Parcialmente"&amp;CHAR(10),$AP$32))</formula>
    </cfRule>
    <cfRule type="expression" dxfId="6" priority="72">
      <formula>ISNUMBER(SEARCH(CHAR(10)&amp;"No"&amp;CHAR(10),$AP$32))</formula>
    </cfRule>
    <cfRule type="expression" dxfId="5" priority="73">
      <formula>ISNUMBER(SEARCH(CHAR(10)&amp;"Sin probar"&amp;CHAR(10),$AP$32))</formula>
    </cfRule>
    <cfRule type="expression" dxfId="4" priority="70">
      <formula>ISNUMBER(SEARCH(CHAR(10)&amp;"Sí"&amp;CHAR(10),$AP$32))</formula>
    </cfRule>
  </conditionalFormatting>
  <conditionalFormatting sqref="AP40:AS43">
    <cfRule type="expression" dxfId="3" priority="106">
      <formula>ISNUMBER(SEARCH(CHAR(10)&amp;"Sí"&amp;CHAR(10),$AP$40))</formula>
    </cfRule>
    <cfRule type="expression" dxfId="2" priority="107">
      <formula>ISNUMBER(SEARCH(CHAR(10)&amp;"Parcialmente"&amp;CHAR(10),$AP$40))</formula>
    </cfRule>
    <cfRule type="expression" dxfId="1" priority="109">
      <formula>ISNUMBER(SEARCH(CHAR(10)&amp;"Sin probar"&amp;CHAR(10),$AP$40))</formula>
    </cfRule>
    <cfRule type="expression" dxfId="0" priority="108">
      <formula>ISNUMBER(SEARCH(CHAR(10)&amp;"No"&amp;CHAR(10),$AP$40))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D0C539-44DB-31A2-3CA1-262E12043192}">
            <x14:dataBar gradient="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P6:P14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</vt:lpstr>
      <vt:lpstr>Objetivos y hitos</vt:lpstr>
      <vt:lpstr>Progreso de 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Palacio Franco</cp:lastModifiedBy>
  <dcterms:modified xsi:type="dcterms:W3CDTF">2026-10-15T14:18:49Z</dcterms:modified>
</cp:coreProperties>
</file>